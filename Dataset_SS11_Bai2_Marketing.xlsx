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2C898182-E0B1-434F-B3E7-440A05E2A0D3}" xr6:coauthVersionLast="47" xr6:coauthVersionMax="47" xr10:uidLastSave="{00000000-0000-0000-0000-000000000000}"/>
  <bookViews>
    <workbookView xWindow="1596" yWindow="2604" windowWidth="14724" windowHeight="9564" xr2:uid="{00000000-000D-0000-FFFF-FFFF00000000}"/>
  </bookViews>
  <sheets>
    <sheet name="Sheet2" sheetId="3" r:id="rId1"/>
    <sheet name="Dataset_SS11_Bai2_Marketing" sheetId="1" r:id="rId2"/>
    <sheet name="Phần B" sheetId="2" r:id="rId3"/>
  </sheets>
  <calcPr calcId="191029"/>
  <pivotCaches>
    <pivotCache cacheId="9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lieuV2oGzA46ttbKjsVcapIcZu6SivszdiC0/pCiJaA="/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2" i="1"/>
</calcChain>
</file>

<file path=xl/sharedStrings.xml><?xml version="1.0" encoding="utf-8"?>
<sst xmlns="http://schemas.openxmlformats.org/spreadsheetml/2006/main" count="1462" uniqueCount="407">
  <si>
    <t>Ad_Cost</t>
  </si>
  <si>
    <t>Revenue</t>
  </si>
  <si>
    <t>Status</t>
  </si>
  <si>
    <t>Ngay_Dat</t>
  </si>
  <si>
    <t>Thành công</t>
  </si>
  <si>
    <t>Đã hủy</t>
  </si>
  <si>
    <t xml:space="preserve">ORD_0215 </t>
  </si>
  <si>
    <t xml:space="preserve"> Serum Vitamin C </t>
  </si>
  <si>
    <t xml:space="preserve"> Facebook Ads</t>
  </si>
  <si>
    <t xml:space="preserve">ORD_0280 </t>
  </si>
  <si>
    <t xml:space="preserve"> Sữa rửa mặt </t>
  </si>
  <si>
    <t xml:space="preserve">ORD_0285 </t>
  </si>
  <si>
    <t xml:space="preserve"> EM</t>
  </si>
  <si>
    <t xml:space="preserve">ORD_0302 </t>
  </si>
  <si>
    <t xml:space="preserve"> Tinh chất retinol </t>
  </si>
  <si>
    <t xml:space="preserve">ORD_0117 </t>
  </si>
  <si>
    <t xml:space="preserve">ORD_0164 </t>
  </si>
  <si>
    <t xml:space="preserve"> Toner </t>
  </si>
  <si>
    <t xml:space="preserve"> Google Ads</t>
  </si>
  <si>
    <t xml:space="preserve">ORD_0150 </t>
  </si>
  <si>
    <t xml:space="preserve"> FB</t>
  </si>
  <si>
    <t xml:space="preserve">ORD_0057 </t>
  </si>
  <si>
    <t xml:space="preserve"> Kem dưỡng ẩm </t>
  </si>
  <si>
    <t xml:space="preserve"> GG</t>
  </si>
  <si>
    <t xml:space="preserve">ORD_0212 </t>
  </si>
  <si>
    <t xml:space="preserve"> Xịt khoáng </t>
  </si>
  <si>
    <t xml:space="preserve">ORD_0121 </t>
  </si>
  <si>
    <t xml:space="preserve"> Son dưỡng </t>
  </si>
  <si>
    <t xml:space="preserve">ORD_0051 </t>
  </si>
  <si>
    <t xml:space="preserve"> Mặt nạ collagen </t>
  </si>
  <si>
    <t xml:space="preserve">ORD_0189 </t>
  </si>
  <si>
    <t xml:space="preserve"> TT</t>
  </si>
  <si>
    <t xml:space="preserve">ORD_0123 </t>
  </si>
  <si>
    <t xml:space="preserve">ORD_0109 </t>
  </si>
  <si>
    <t xml:space="preserve">ORD_0208 </t>
  </si>
  <si>
    <t xml:space="preserve"> TikTok Ads</t>
  </si>
  <si>
    <t xml:space="preserve">ORD_0060 </t>
  </si>
  <si>
    <t xml:space="preserve">ORD_0087 </t>
  </si>
  <si>
    <t xml:space="preserve">ORD_0112 </t>
  </si>
  <si>
    <t xml:space="preserve">ORD_0020 </t>
  </si>
  <si>
    <t xml:space="preserve">ORD_0148 </t>
  </si>
  <si>
    <t xml:space="preserve">ORD_0308 </t>
  </si>
  <si>
    <t xml:space="preserve"> Kem mắt </t>
  </si>
  <si>
    <t xml:space="preserve">ORD_0252 </t>
  </si>
  <si>
    <t xml:space="preserve">ORD_0197 </t>
  </si>
  <si>
    <t xml:space="preserve">ORD_0083 </t>
  </si>
  <si>
    <t xml:space="preserve"> Kem chống nắng </t>
  </si>
  <si>
    <t xml:space="preserve">ORD_0162 </t>
  </si>
  <si>
    <t xml:space="preserve">ORD_0334 </t>
  </si>
  <si>
    <t xml:space="preserve">ORD_0107 </t>
  </si>
  <si>
    <t xml:space="preserve">ORD_0289 </t>
  </si>
  <si>
    <t xml:space="preserve">ORD_0031 </t>
  </si>
  <si>
    <t xml:space="preserve">ORD_0187 </t>
  </si>
  <si>
    <t xml:space="preserve">ORD_0331 </t>
  </si>
  <si>
    <t xml:space="preserve">ORD_0143 </t>
  </si>
  <si>
    <t xml:space="preserve">ORD_0002 </t>
  </si>
  <si>
    <t xml:space="preserve">ORD_0326 </t>
  </si>
  <si>
    <t xml:space="preserve">ORD_0273 </t>
  </si>
  <si>
    <t xml:space="preserve">ORD_0067 </t>
  </si>
  <si>
    <t xml:space="preserve">ORD_0014 </t>
  </si>
  <si>
    <t xml:space="preserve">ORD_0294 </t>
  </si>
  <si>
    <t xml:space="preserve">ORD_0328 </t>
  </si>
  <si>
    <t xml:space="preserve">ORD_0209 </t>
  </si>
  <si>
    <t xml:space="preserve">ORD_0095 </t>
  </si>
  <si>
    <t xml:space="preserve">ORD_0338 </t>
  </si>
  <si>
    <t xml:space="preserve">ORD_0170 </t>
  </si>
  <si>
    <t xml:space="preserve">ORD_0003 </t>
  </si>
  <si>
    <t xml:space="preserve">ORD_0027 </t>
  </si>
  <si>
    <t xml:space="preserve">ORD_0156 </t>
  </si>
  <si>
    <t xml:space="preserve">ORD_0259 </t>
  </si>
  <si>
    <t xml:space="preserve">ORD_0192 </t>
  </si>
  <si>
    <t xml:space="preserve">ORD_0106 </t>
  </si>
  <si>
    <t xml:space="preserve">ORD_0077 </t>
  </si>
  <si>
    <t xml:space="preserve">ORD_0045 </t>
  </si>
  <si>
    <t xml:space="preserve"> Email Marketing</t>
  </si>
  <si>
    <t xml:space="preserve">ORD_0284 </t>
  </si>
  <si>
    <t xml:space="preserve">ORD_0080 </t>
  </si>
  <si>
    <t xml:space="preserve">ORD_0279 </t>
  </si>
  <si>
    <t xml:space="preserve">ORD_0086 </t>
  </si>
  <si>
    <t xml:space="preserve">ORD_0044 </t>
  </si>
  <si>
    <t xml:space="preserve">ORD_0116 </t>
  </si>
  <si>
    <t xml:space="preserve">ORD_0210 </t>
  </si>
  <si>
    <t xml:space="preserve">ORD_0137 </t>
  </si>
  <si>
    <t xml:space="preserve">ORD_0238 </t>
  </si>
  <si>
    <t xml:space="preserve">ORD_0108 </t>
  </si>
  <si>
    <t xml:space="preserve">ORD_0337 </t>
  </si>
  <si>
    <t xml:space="preserve">ORD_0237 </t>
  </si>
  <si>
    <t xml:space="preserve">ORD_0260 </t>
  </si>
  <si>
    <t xml:space="preserve">ORD_0081 </t>
  </si>
  <si>
    <t xml:space="preserve">ORD_0155 </t>
  </si>
  <si>
    <t xml:space="preserve">ORD_0011 </t>
  </si>
  <si>
    <t xml:space="preserve">ORD_0219 </t>
  </si>
  <si>
    <t xml:space="preserve">ORD_0037 </t>
  </si>
  <si>
    <t xml:space="preserve">ORD_0320 </t>
  </si>
  <si>
    <t xml:space="preserve">ORD_0040 </t>
  </si>
  <si>
    <t xml:space="preserve">ORD_0332 </t>
  </si>
  <si>
    <t xml:space="preserve">ORD_0104 </t>
  </si>
  <si>
    <t xml:space="preserve">ORD_0021 </t>
  </si>
  <si>
    <t xml:space="preserve">ORD_0134 </t>
  </si>
  <si>
    <t xml:space="preserve">ORD_0175 </t>
  </si>
  <si>
    <t xml:space="preserve">ORD_0006 </t>
  </si>
  <si>
    <t xml:space="preserve">ORD_0240 </t>
  </si>
  <si>
    <t xml:space="preserve">ORD_0261 </t>
  </si>
  <si>
    <t xml:space="preserve">ORD_0226 </t>
  </si>
  <si>
    <t xml:space="preserve">ORD_0218 </t>
  </si>
  <si>
    <t xml:space="preserve">ORD_0178 </t>
  </si>
  <si>
    <t xml:space="preserve">ORD_0236 </t>
  </si>
  <si>
    <t xml:space="preserve">ORD_0179 </t>
  </si>
  <si>
    <t xml:space="preserve">ORD_0034 </t>
  </si>
  <si>
    <t xml:space="preserve">ORD_0176 </t>
  </si>
  <si>
    <t xml:space="preserve">ORD_0082 </t>
  </si>
  <si>
    <t xml:space="preserve">ORD_0041 </t>
  </si>
  <si>
    <t xml:space="preserve">ORD_0198 </t>
  </si>
  <si>
    <t xml:space="preserve">ORD_0120 </t>
  </si>
  <si>
    <t xml:space="preserve">ORD_0101 </t>
  </si>
  <si>
    <t xml:space="preserve">ORD_0017 </t>
  </si>
  <si>
    <t xml:space="preserve">ORD_0026 </t>
  </si>
  <si>
    <t xml:space="preserve">ORD_0171 </t>
  </si>
  <si>
    <t xml:space="preserve">ORD_0092 </t>
  </si>
  <si>
    <t xml:space="preserve">ORD_0133 </t>
  </si>
  <si>
    <t xml:space="preserve">ORD_0135 </t>
  </si>
  <si>
    <t xml:space="preserve">ORD_0201 </t>
  </si>
  <si>
    <t xml:space="preserve">ORD_0096 </t>
  </si>
  <si>
    <t xml:space="preserve">ORD_0251 </t>
  </si>
  <si>
    <t xml:space="preserve">ORD_0228 </t>
  </si>
  <si>
    <t xml:space="preserve">ORD_0194 </t>
  </si>
  <si>
    <t xml:space="preserve">ORD_0196 </t>
  </si>
  <si>
    <t xml:space="preserve">ORD_0199 </t>
  </si>
  <si>
    <t xml:space="preserve">ORD_0070 </t>
  </si>
  <si>
    <t xml:space="preserve">ORD_0010 </t>
  </si>
  <si>
    <t xml:space="preserve">ORD_0180 </t>
  </si>
  <si>
    <t xml:space="preserve">ORD_0181 </t>
  </si>
  <si>
    <t xml:space="preserve">ORD_0195 </t>
  </si>
  <si>
    <t xml:space="preserve">ORD_0160 </t>
  </si>
  <si>
    <t xml:space="preserve">ORD_0028 </t>
  </si>
  <si>
    <t xml:space="preserve">ORD_0016 </t>
  </si>
  <si>
    <t xml:space="preserve">ORD_0177 </t>
  </si>
  <si>
    <t xml:space="preserve">ORD_0321 </t>
  </si>
  <si>
    <t xml:space="preserve">ORD_0247 </t>
  </si>
  <si>
    <t xml:space="preserve">ORD_0324 </t>
  </si>
  <si>
    <t xml:space="preserve">ORD_0089 </t>
  </si>
  <si>
    <t xml:space="preserve">ORD_0105 </t>
  </si>
  <si>
    <t xml:space="preserve">ORD_0145 </t>
  </si>
  <si>
    <t xml:space="preserve">ORD_0230 </t>
  </si>
  <si>
    <t xml:space="preserve">ORD_0074 </t>
  </si>
  <si>
    <t xml:space="preserve">ORD_0084 </t>
  </si>
  <si>
    <t xml:space="preserve">ORD_0085 </t>
  </si>
  <si>
    <t xml:space="preserve">ORD_0023 </t>
  </si>
  <si>
    <t xml:space="preserve">ORD_0329 </t>
  </si>
  <si>
    <t xml:space="preserve">ORD_0310 </t>
  </si>
  <si>
    <t xml:space="preserve">ORD_0183 </t>
  </si>
  <si>
    <t xml:space="preserve">ORD_0093 </t>
  </si>
  <si>
    <t xml:space="preserve">ORD_0298 </t>
  </si>
  <si>
    <t xml:space="preserve">ORD_0315 </t>
  </si>
  <si>
    <t xml:space="preserve">ORD_0318 </t>
  </si>
  <si>
    <t xml:space="preserve">ORD_0322 </t>
  </si>
  <si>
    <t xml:space="preserve">ORD_0235 </t>
  </si>
  <si>
    <t xml:space="preserve">ORD_0317 </t>
  </si>
  <si>
    <t xml:space="preserve">ORD_0213 </t>
  </si>
  <si>
    <t xml:space="preserve">ORD_0047 </t>
  </si>
  <si>
    <t xml:space="preserve">ORD_0174 </t>
  </si>
  <si>
    <t xml:space="preserve">ORD_0311 </t>
  </si>
  <si>
    <t xml:space="preserve">ORD_0250 </t>
  </si>
  <si>
    <t xml:space="preserve">ORD_0234 </t>
  </si>
  <si>
    <t xml:space="preserve">ORD_0281 </t>
  </si>
  <si>
    <t xml:space="preserve">ORD_0068 </t>
  </si>
  <si>
    <t xml:space="preserve">ORD_0018 </t>
  </si>
  <si>
    <t xml:space="preserve">ORD_0008 </t>
  </si>
  <si>
    <t xml:space="preserve">ORD_0190 </t>
  </si>
  <si>
    <t xml:space="preserve">ORD_0149 </t>
  </si>
  <si>
    <t xml:space="preserve">ORD_0130 </t>
  </si>
  <si>
    <t xml:space="preserve">ORD_0001 </t>
  </si>
  <si>
    <t xml:space="preserve">ORD_0146 </t>
  </si>
  <si>
    <t xml:space="preserve">ORD_0335 </t>
  </si>
  <si>
    <t xml:space="preserve">ORD_0316 </t>
  </si>
  <si>
    <t xml:space="preserve">ORD_0033 </t>
  </si>
  <si>
    <t xml:space="preserve">ORD_0282 </t>
  </si>
  <si>
    <t xml:space="preserve">ORD_0220 </t>
  </si>
  <si>
    <t xml:space="preserve">ORD_0292 </t>
  </si>
  <si>
    <t xml:space="preserve">ORD_0287 </t>
  </si>
  <si>
    <t xml:space="preserve">ORD_0325 </t>
  </si>
  <si>
    <t xml:space="preserve">ORD_0113 </t>
  </si>
  <si>
    <t xml:space="preserve">ORD_0172 </t>
  </si>
  <si>
    <t xml:space="preserve">ORD_0049 </t>
  </si>
  <si>
    <t xml:space="preserve">ORD_0319 </t>
  </si>
  <si>
    <t xml:space="preserve">ORD_0128 </t>
  </si>
  <si>
    <t xml:space="preserve">ORD_0005 </t>
  </si>
  <si>
    <t xml:space="preserve">ORD_0330 </t>
  </si>
  <si>
    <t xml:space="preserve">ORD_0266 </t>
  </si>
  <si>
    <t xml:space="preserve">ORD_0242 </t>
  </si>
  <si>
    <t xml:space="preserve">ORD_0339 </t>
  </si>
  <si>
    <t xml:space="preserve">ORD_0241 </t>
  </si>
  <si>
    <t xml:space="preserve">ORD_0140 </t>
  </si>
  <si>
    <t xml:space="preserve">ORD_0336 </t>
  </si>
  <si>
    <t xml:space="preserve">ORD_0032 </t>
  </si>
  <si>
    <t xml:space="preserve">ORD_0050 </t>
  </si>
  <si>
    <t xml:space="preserve">ORD_0214 </t>
  </si>
  <si>
    <t xml:space="preserve">ORD_0269 </t>
  </si>
  <si>
    <t xml:space="preserve">ORD_0152 </t>
  </si>
  <si>
    <t xml:space="preserve">ORD_0088 </t>
  </si>
  <si>
    <t xml:space="preserve">ORD_0132 </t>
  </si>
  <si>
    <t xml:space="preserve">ORD_0333 </t>
  </si>
  <si>
    <t xml:space="preserve">ORD_0125 </t>
  </si>
  <si>
    <t xml:space="preserve">ORD_0030 </t>
  </si>
  <si>
    <t xml:space="preserve">ORD_0255 </t>
  </si>
  <si>
    <t xml:space="preserve">ORD_0267 </t>
  </si>
  <si>
    <t xml:space="preserve">ORD_0154 </t>
  </si>
  <si>
    <t xml:space="preserve">ORD_0073 </t>
  </si>
  <si>
    <t xml:space="preserve">ORD_0256 </t>
  </si>
  <si>
    <t xml:space="preserve">ORD_0142 </t>
  </si>
  <si>
    <t xml:space="preserve">ORD_0161 </t>
  </si>
  <si>
    <t xml:space="preserve">ORD_0313 </t>
  </si>
  <si>
    <t xml:space="preserve">ORD_0004 </t>
  </si>
  <si>
    <t xml:space="preserve">ORD_0013 </t>
  </si>
  <si>
    <t xml:space="preserve">ORD_0097 </t>
  </si>
  <si>
    <t xml:space="preserve">ORD_0248 </t>
  </si>
  <si>
    <t xml:space="preserve">ORD_0184 </t>
  </si>
  <si>
    <t xml:space="preserve">ORD_0262 </t>
  </si>
  <si>
    <t xml:space="preserve">ORD_0099 </t>
  </si>
  <si>
    <t xml:space="preserve">ORD_0153 </t>
  </si>
  <si>
    <t xml:space="preserve">ORD_0283 </t>
  </si>
  <si>
    <t xml:space="preserve">ORD_0024 </t>
  </si>
  <si>
    <t xml:space="preserve">ORD_0043 </t>
  </si>
  <si>
    <t xml:space="preserve">ORD_0263 </t>
  </si>
  <si>
    <t xml:space="preserve">ORD_0182 </t>
  </si>
  <si>
    <t xml:space="preserve">ORD_0186 </t>
  </si>
  <si>
    <t xml:space="preserve">ORD_0046 </t>
  </si>
  <si>
    <t xml:space="preserve">ORD_0036 </t>
  </si>
  <si>
    <t xml:space="preserve">ORD_0277 </t>
  </si>
  <si>
    <t xml:space="preserve">ORD_0127 </t>
  </si>
  <si>
    <t xml:space="preserve">ORD_0239 </t>
  </si>
  <si>
    <t xml:space="preserve">ORD_0227 </t>
  </si>
  <si>
    <t xml:space="preserve">ORD_0103 </t>
  </si>
  <si>
    <t xml:space="preserve">ORD_0243 </t>
  </si>
  <si>
    <t xml:space="preserve">ORD_0119 </t>
  </si>
  <si>
    <t xml:space="preserve">ORD_0079 </t>
  </si>
  <si>
    <t xml:space="preserve">ORD_0078 </t>
  </si>
  <si>
    <t xml:space="preserve">ORD_0225 </t>
  </si>
  <si>
    <t xml:space="preserve">ORD_0291 </t>
  </si>
  <si>
    <t xml:space="preserve">ORD_0025 </t>
  </si>
  <si>
    <t xml:space="preserve">ORD_0232 </t>
  </si>
  <si>
    <t xml:space="preserve">ORD_0244 </t>
  </si>
  <si>
    <t xml:space="preserve">ORD_0102 </t>
  </si>
  <si>
    <t xml:space="preserve">ORD_0305 </t>
  </si>
  <si>
    <t xml:space="preserve">ORD_0257 </t>
  </si>
  <si>
    <t xml:space="preserve">ORD_0042 </t>
  </si>
  <si>
    <t xml:space="preserve">ORD_0126 </t>
  </si>
  <si>
    <t xml:space="preserve">ORD_0306 </t>
  </si>
  <si>
    <t xml:space="preserve">ORD_0278 </t>
  </si>
  <si>
    <t xml:space="preserve">ORD_0058 </t>
  </si>
  <si>
    <t xml:space="preserve">ORD_0098 </t>
  </si>
  <si>
    <t xml:space="preserve">ORD_0245 </t>
  </si>
  <si>
    <t xml:space="preserve">ORD_0211 </t>
  </si>
  <si>
    <t xml:space="preserve">ORD_0312 </t>
  </si>
  <si>
    <t xml:space="preserve">ORD_0217 </t>
  </si>
  <si>
    <t xml:space="preserve">ORD_0144 </t>
  </si>
  <si>
    <t xml:space="preserve">ORD_0191 </t>
  </si>
  <si>
    <t xml:space="preserve">ORD_0304 </t>
  </si>
  <si>
    <t xml:space="preserve">ORD_0307 </t>
  </si>
  <si>
    <t xml:space="preserve">ORD_0168 </t>
  </si>
  <si>
    <t xml:space="preserve">ORD_0258 </t>
  </si>
  <si>
    <t xml:space="preserve">ORD_0314 </t>
  </si>
  <si>
    <t xml:space="preserve">ORD_0166 </t>
  </si>
  <si>
    <t xml:space="preserve">ORD_0249 </t>
  </si>
  <si>
    <t xml:space="preserve">ORD_0205 </t>
  </si>
  <si>
    <t xml:space="preserve">ORD_0207 </t>
  </si>
  <si>
    <t xml:space="preserve">ORD_0222 </t>
  </si>
  <si>
    <t xml:space="preserve">ORD_0054 </t>
  </si>
  <si>
    <t xml:space="preserve">ORD_0035 </t>
  </si>
  <si>
    <t xml:space="preserve">ORD_0131 </t>
  </si>
  <si>
    <t xml:space="preserve">ORD_0115 </t>
  </si>
  <si>
    <t xml:space="preserve">ORD_0062 </t>
  </si>
  <si>
    <t xml:space="preserve">ORD_0188 </t>
  </si>
  <si>
    <t xml:space="preserve">ORD_0059 </t>
  </si>
  <si>
    <t xml:space="preserve">ORD_0301 </t>
  </si>
  <si>
    <t xml:space="preserve">ORD_0309 </t>
  </si>
  <si>
    <t xml:space="preserve">ORD_0114 </t>
  </si>
  <si>
    <t xml:space="preserve">ORD_0300 </t>
  </si>
  <si>
    <t xml:space="preserve">ORD_0169 </t>
  </si>
  <si>
    <t xml:space="preserve">ORD_0229 </t>
  </si>
  <si>
    <t xml:space="preserve">ORD_0136 </t>
  </si>
  <si>
    <t xml:space="preserve">ORD_0340 </t>
  </si>
  <si>
    <t xml:space="preserve">ORD_0019 </t>
  </si>
  <si>
    <t xml:space="preserve">ORD_0072 </t>
  </si>
  <si>
    <t xml:space="preserve">ORD_0288 </t>
  </si>
  <si>
    <t xml:space="preserve">ORD_0151 </t>
  </si>
  <si>
    <t xml:space="preserve">ORD_0272 </t>
  </si>
  <si>
    <t xml:space="preserve">ORD_0270 </t>
  </si>
  <si>
    <t xml:space="preserve">ORD_0009 </t>
  </si>
  <si>
    <t xml:space="preserve">ORD_0053 </t>
  </si>
  <si>
    <t xml:space="preserve">ORD_0111 </t>
  </si>
  <si>
    <t xml:space="preserve">ORD_0022 </t>
  </si>
  <si>
    <t xml:space="preserve">ORD_0029 </t>
  </si>
  <si>
    <t xml:space="preserve">ORD_0202 </t>
  </si>
  <si>
    <t xml:space="preserve">ORD_0265 </t>
  </si>
  <si>
    <t xml:space="preserve">ORD_0065 </t>
  </si>
  <si>
    <t xml:space="preserve">ORD_0012 </t>
  </si>
  <si>
    <t xml:space="preserve">ORD_0254 </t>
  </si>
  <si>
    <t xml:space="preserve">ORD_0295 </t>
  </si>
  <si>
    <t xml:space="preserve">ORD_0276 </t>
  </si>
  <si>
    <t xml:space="preserve">ORD_0297 </t>
  </si>
  <si>
    <t xml:space="preserve">ORD_0075 </t>
  </si>
  <si>
    <t xml:space="preserve">ORD_0048 </t>
  </si>
  <si>
    <t xml:space="preserve">ORD_0100 </t>
  </si>
  <si>
    <t xml:space="preserve">ORD_0173 </t>
  </si>
  <si>
    <t xml:space="preserve">ORD_0015 </t>
  </si>
  <si>
    <t xml:space="preserve">ORD_0274 </t>
  </si>
  <si>
    <t xml:space="preserve">ORD_0185 </t>
  </si>
  <si>
    <t xml:space="preserve">ORD_0090 </t>
  </si>
  <si>
    <t xml:space="preserve">ORD_0052 </t>
  </si>
  <si>
    <t xml:space="preserve">ORD_0206 </t>
  </si>
  <si>
    <t xml:space="preserve">ORD_0303 </t>
  </si>
  <si>
    <t xml:space="preserve">ORD_0200 </t>
  </si>
  <si>
    <t xml:space="preserve">ORD_0165 </t>
  </si>
  <si>
    <t xml:space="preserve">ORD_0066 </t>
  </si>
  <si>
    <t xml:space="preserve">ORD_0071 </t>
  </si>
  <si>
    <t xml:space="preserve">ORD_0233 </t>
  </si>
  <si>
    <t xml:space="preserve">ORD_0231 </t>
  </si>
  <si>
    <t xml:space="preserve">ORD_0038 </t>
  </si>
  <si>
    <t xml:space="preserve">ORD_0286 </t>
  </si>
  <si>
    <t xml:space="preserve">ORD_0221 </t>
  </si>
  <si>
    <t xml:space="preserve">ORD_0056 </t>
  </si>
  <si>
    <t xml:space="preserve">ORD_0139 </t>
  </si>
  <si>
    <t xml:space="preserve">ORD_0141 </t>
  </si>
  <si>
    <t xml:space="preserve">ORD_0076 </t>
  </si>
  <si>
    <t xml:space="preserve">ORD_0091 </t>
  </si>
  <si>
    <t xml:space="preserve">ORD_0290 </t>
  </si>
  <si>
    <t xml:space="preserve">ORD_0264 </t>
  </si>
  <si>
    <t xml:space="preserve">ORD_0124 </t>
  </si>
  <si>
    <t xml:space="preserve">ORD_0147 </t>
  </si>
  <si>
    <t xml:space="preserve">ORD_0224 </t>
  </si>
  <si>
    <t xml:space="preserve">ORD_0118 </t>
  </si>
  <si>
    <t xml:space="preserve">ORD_0061 </t>
  </si>
  <si>
    <t xml:space="preserve">ORD_0064 </t>
  </si>
  <si>
    <t xml:space="preserve">ORD_0158 </t>
  </si>
  <si>
    <t xml:space="preserve">ORD_0159 </t>
  </si>
  <si>
    <t xml:space="preserve">ORD_0157 </t>
  </si>
  <si>
    <t xml:space="preserve">ORD_0122 </t>
  </si>
  <si>
    <t xml:space="preserve">ORD_0163 </t>
  </si>
  <si>
    <t xml:space="preserve">ORD_0039 </t>
  </si>
  <si>
    <t xml:space="preserve">ORD_0110 </t>
  </si>
  <si>
    <t xml:space="preserve">ORD_0063 </t>
  </si>
  <si>
    <t xml:space="preserve">ORD_0327 </t>
  </si>
  <si>
    <t xml:space="preserve">ORD_0055 </t>
  </si>
  <si>
    <t xml:space="preserve">ORD_0094 </t>
  </si>
  <si>
    <t xml:space="preserve">ORD_0204 </t>
  </si>
  <si>
    <t xml:space="preserve">ORD_0271 </t>
  </si>
  <si>
    <t xml:space="preserve">ORD_0323 </t>
  </si>
  <si>
    <t xml:space="preserve">ORD_0193 </t>
  </si>
  <si>
    <t xml:space="preserve">ORD_0216 </t>
  </si>
  <si>
    <t xml:space="preserve">ORD_0275 </t>
  </si>
  <si>
    <t xml:space="preserve">ORD_0203 </t>
  </si>
  <si>
    <t xml:space="preserve">ORD_0253 </t>
  </si>
  <si>
    <t xml:space="preserve">ORD_0007 </t>
  </si>
  <si>
    <t xml:space="preserve">ORD_0138 </t>
  </si>
  <si>
    <t xml:space="preserve">ORD_0069 </t>
  </si>
  <si>
    <t xml:space="preserve">ORD_0246 </t>
  </si>
  <si>
    <t xml:space="preserve">ORD_0268 </t>
  </si>
  <si>
    <t xml:space="preserve">ORD_0296 </t>
  </si>
  <si>
    <t xml:space="preserve">ORD_0167 </t>
  </si>
  <si>
    <t xml:space="preserve">ORD_0293 </t>
  </si>
  <si>
    <t xml:space="preserve">ORD_0129 </t>
  </si>
  <si>
    <t xml:space="preserve">ORD_0223 </t>
  </si>
  <si>
    <t xml:space="preserve">ORD_0299 </t>
  </si>
  <si>
    <t>Ma_Don</t>
  </si>
  <si>
    <t>San_Pham</t>
  </si>
  <si>
    <t>Kênh</t>
  </si>
  <si>
    <t>Lợi Nhuận</t>
  </si>
  <si>
    <t>Tuần</t>
  </si>
  <si>
    <t>Câu hỏi phân tích</t>
  </si>
  <si>
    <t>KPI cần tính</t>
  </si>
  <si>
    <t>Biểu đồ phù hợp</t>
  </si>
  <si>
    <t>Giải thích lý do chọn KPI &amp; biểu đồ</t>
  </si>
  <si>
    <r>
      <t xml:space="preserve">1. Kênh Marketing nào mang lại </t>
    </r>
    <r>
      <rPr>
        <b/>
        <sz val="11"/>
        <color theme="1"/>
        <rFont val="Calibri"/>
        <family val="2"/>
        <scheme val="minor"/>
      </rPr>
      <t>tổng doanh thu cao nhất</t>
    </r>
    <r>
      <rPr>
        <sz val="11"/>
        <color theme="1"/>
        <rFont val="Calibri"/>
        <family val="2"/>
        <scheme val="minor"/>
      </rPr>
      <t>?</t>
    </r>
  </si>
  <si>
    <t>Tổng Doanh thu theo Kênh</t>
  </si>
  <si>
    <t>Bar Chart</t>
  </si>
  <si>
    <t>Bar Chart giúp so sánh trực quan doanh thu giữa các kênh (Facebook Ads, Google Ads, TikTok Ads, EM…).</t>
  </si>
  <si>
    <r>
      <t xml:space="preserve">2. Kênh nào có </t>
    </r>
    <r>
      <rPr>
        <b/>
        <sz val="11"/>
        <color theme="1"/>
        <rFont val="Calibri"/>
        <family val="2"/>
        <scheme val="minor"/>
      </rPr>
      <t>chi phí thấp nhất</t>
    </r>
    <r>
      <rPr>
        <sz val="11"/>
        <color theme="1"/>
        <rFont val="Calibri"/>
        <family val="2"/>
        <scheme val="minor"/>
      </rPr>
      <t xml:space="preserve"> nhưng vẫn tạo doanh thu tốt?</t>
    </r>
  </si>
  <si>
    <t>Tổng Chi phí (Ad_Cost) theo Kênh</t>
  </si>
  <si>
    <t>So sánh chi phí để đánh giá mức độ tiết kiệm ngân sách giữa các kênh.</t>
  </si>
  <si>
    <r>
      <t xml:space="preserve">3. </t>
    </r>
    <r>
      <rPr>
        <b/>
        <sz val="11"/>
        <color theme="1"/>
        <rFont val="Calibri"/>
        <family val="2"/>
        <scheme val="minor"/>
      </rPr>
      <t>ROI của từng kênh</t>
    </r>
    <r>
      <rPr>
        <sz val="11"/>
        <color theme="1"/>
        <rFont val="Calibri"/>
        <family val="2"/>
        <scheme val="minor"/>
      </rPr>
      <t xml:space="preserve"> là bao nhiêu?</t>
    </r>
  </si>
  <si>
    <t>ROI = (Doanh thu – Chi phí) / Chi phí × 100%</t>
  </si>
  <si>
    <t>Column / Bar Chart</t>
  </si>
  <si>
    <r>
      <t xml:space="preserve">ROI phản ánh </t>
    </r>
    <r>
      <rPr>
        <b/>
        <sz val="11"/>
        <color theme="1"/>
        <rFont val="Calibri"/>
        <family val="2"/>
        <scheme val="minor"/>
      </rPr>
      <t>hiệu quả đầu tư</t>
    </r>
    <r>
      <rPr>
        <sz val="11"/>
        <color theme="1"/>
        <rFont val="Calibri"/>
        <family val="2"/>
        <scheme val="minor"/>
      </rPr>
      <t>, cho biết kênh nào sinh lời tốt nhất.</t>
    </r>
  </si>
  <si>
    <r>
      <t xml:space="preserve">4. </t>
    </r>
    <r>
      <rPr>
        <b/>
        <sz val="11"/>
        <color theme="1"/>
        <rFont val="Calibri"/>
        <family val="2"/>
        <scheme val="minor"/>
      </rPr>
      <t>CPA của từng kênh</t>
    </r>
    <r>
      <rPr>
        <sz val="11"/>
        <color theme="1"/>
        <rFont val="Calibri"/>
        <family val="2"/>
        <scheme val="minor"/>
      </rPr>
      <t xml:space="preserve"> là bao nhiêu?</t>
    </r>
  </si>
  <si>
    <t>CPA = Tổng chi phí / Số đơn thành công</t>
  </si>
  <si>
    <t>CPA thấp → kênh hiệu quả trong việc tạo đơn hàng.</t>
  </si>
  <si>
    <r>
      <t xml:space="preserve">5. Kênh nào có </t>
    </r>
    <r>
      <rPr>
        <b/>
        <sz val="11"/>
        <color theme="1"/>
        <rFont val="Calibri"/>
        <family val="2"/>
        <scheme val="minor"/>
      </rPr>
      <t>tỷ lệ hủy đơn cao</t>
    </r>
    <r>
      <rPr>
        <sz val="11"/>
        <color theme="1"/>
        <rFont val="Calibri"/>
        <family val="2"/>
        <scheme val="minor"/>
      </rPr>
      <t>?</t>
    </r>
  </si>
  <si>
    <t>Tỷ lệ hủy = Đơn hủy / Tổng đơn × 100%</t>
  </si>
  <si>
    <t>Phát hiện kênh có chất lượng khách hàng thấp hoặc quy trình chưa tốt.</t>
  </si>
  <si>
    <r>
      <t xml:space="preserve">6. </t>
    </r>
    <r>
      <rPr>
        <b/>
        <sz val="11"/>
        <color theme="1"/>
        <rFont val="Calibri"/>
        <family val="2"/>
        <scheme val="minor"/>
      </rPr>
      <t>Sản phẩm nào bán chạy nhất</t>
    </r>
    <r>
      <rPr>
        <sz val="11"/>
        <color theme="1"/>
        <rFont val="Calibri"/>
        <family val="2"/>
        <scheme val="minor"/>
      </rPr>
      <t xml:space="preserve"> về doanh thu?</t>
    </r>
  </si>
  <si>
    <t>Tổng Doanh thu theo Sản phẩm</t>
  </si>
  <si>
    <t>Bar Chart (Top sản phẩm)</t>
  </si>
  <si>
    <t>Dễ xác định sản phẩm chủ lực để tập trung ngân sách quảng cáo.</t>
  </si>
  <si>
    <r>
      <t xml:space="preserve">7. </t>
    </r>
    <r>
      <rPr>
        <b/>
        <sz val="11"/>
        <color theme="1"/>
        <rFont val="Calibri"/>
        <family val="2"/>
        <scheme val="minor"/>
      </rPr>
      <t>Xu hướng doanh thu theo tuần</t>
    </r>
    <r>
      <rPr>
        <sz val="11"/>
        <color theme="1"/>
        <rFont val="Calibri"/>
        <family val="2"/>
        <scheme val="minor"/>
      </rPr>
      <t xml:space="preserve"> trong Q4 như thế nào?</t>
    </r>
  </si>
  <si>
    <t>Tổng Doanh thu theo Tuần</t>
  </si>
  <si>
    <t>Line Chart</t>
  </si>
  <si>
    <r>
      <t xml:space="preserve">Line Chart phù hợp để quan sát </t>
    </r>
    <r>
      <rPr>
        <b/>
        <sz val="11"/>
        <color theme="1"/>
        <rFont val="Calibri"/>
        <family val="2"/>
        <scheme val="minor"/>
      </rPr>
      <t>xu hướng tăng/giảm theo thời gian</t>
    </r>
    <r>
      <rPr>
        <sz val="11"/>
        <color theme="1"/>
        <rFont val="Calibri"/>
        <family val="2"/>
        <scheme val="minor"/>
      </rPr>
      <t>.</t>
    </r>
  </si>
  <si>
    <r>
      <t xml:space="preserve">8. Kênh nào có </t>
    </r>
    <r>
      <rPr>
        <b/>
        <sz val="11"/>
        <color theme="1"/>
        <rFont val="Calibri"/>
        <family val="2"/>
        <scheme val="minor"/>
      </rPr>
      <t>Conversion Rate cao nhất</t>
    </r>
    <r>
      <rPr>
        <sz val="11"/>
        <color theme="1"/>
        <rFont val="Calibri"/>
        <family val="2"/>
        <scheme val="minor"/>
      </rPr>
      <t>?</t>
    </r>
  </si>
  <si>
    <t>Conversion Rate = Đơn thành công / Tổng đơn × 100%</t>
  </si>
  <si>
    <t>Đánh giá khả năng chuyển đổi của từng kênh Marketing.</t>
  </si>
  <si>
    <t>Row Labels</t>
  </si>
  <si>
    <t>Grand Total</t>
  </si>
  <si>
    <t>Sum of Revenue</t>
  </si>
  <si>
    <t>Sum of Ad_Cost</t>
  </si>
  <si>
    <t>Count of Ma_Don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</si>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</sst>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2" fillId="0" borderId="0" xfId="0" applyFont="1"/>
    <xf numFmtId="14" fontId="3" fillId="0" borderId="0" xfId="0" applyNumberFormat="1" applyFont="1"/>
    <xf numFmtId="0" fontId="5" fillId="0" borderId="0" xfId="0" applyFont="1" applyAlignment="1">
      <alignment horizontal="center"/>
    </xf>
    <xf numFmtId="14" fontId="2" fillId="0" borderId="0" xfId="0" applyNumberFormat="1" applyFont="1"/>
    <xf numFmtId="14" fontId="1" fillId="0" borderId="0" xfId="0" applyNumberFormat="1" applyFont="1" applyAlignment="1">
      <alignment horizontal="center"/>
    </xf>
    <xf numFmtId="14" fontId="0" fillId="0" borderId="0" xfId="0" applyNumberFormat="1" applyFont="1" applyAlignment="1"/>
    <xf numFmtId="14" fontId="5" fillId="0" borderId="0" xfId="0" applyNumberFormat="1" applyFont="1" applyAlignment="1">
      <alignment horizontal="center"/>
    </xf>
    <xf numFmtId="0" fontId="2" fillId="0" borderId="0" xfId="0" applyNumberFormat="1" applyFont="1"/>
    <xf numFmtId="0" fontId="5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0" fillId="0" borderId="0" xfId="0" pivotButton="1" applyFont="1" applyAlignment="1"/>
    <xf numFmtId="0" fontId="0" fillId="0" borderId="0" xfId="0" applyFont="1" applyAlignment="1">
      <alignment horizontal="left"/>
    </xf>
    <xf numFmtId="0" fontId="0" fillId="0" borderId="0" xfId="0" applyNumberFormat="1" applyFont="1" applyAlignment="1"/>
  </cellXfs>
  <cellStyles count="1">
    <cellStyle name="Normal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[Dataset_SS11_Bai2_Marketing.xlsx]Sheet2!PivotTable1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Sum of 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Sheet2!$A$4:$A$12</c:f>
              <c:strCache>
                <c:ptCount val="8"/>
                <c:pt idx="0">
                  <c:v> EM</c:v>
                </c:pt>
                <c:pt idx="1">
                  <c:v> Email Marketing</c:v>
                </c:pt>
                <c:pt idx="2">
                  <c:v> Facebook Ads</c:v>
                </c:pt>
                <c:pt idx="3">
                  <c:v> FB</c:v>
                </c:pt>
                <c:pt idx="4">
                  <c:v> GG</c:v>
                </c:pt>
                <c:pt idx="5">
                  <c:v> Google Ads</c:v>
                </c:pt>
                <c:pt idx="6">
                  <c:v> TikTok Ads</c:v>
                </c:pt>
                <c:pt idx="7">
                  <c:v> TT</c:v>
                </c:pt>
              </c:strCache>
            </c:strRef>
          </c:cat>
          <c:val>
            <c:numRef>
              <c:f>Sheet2!$B$4:$B$12</c:f>
              <c:numCache>
                <c:formatCode>General</c:formatCode>
                <c:ptCount val="8"/>
                <c:pt idx="0">
                  <c:v>31975699</c:v>
                </c:pt>
                <c:pt idx="1">
                  <c:v>28776261</c:v>
                </c:pt>
                <c:pt idx="2">
                  <c:v>54040869</c:v>
                </c:pt>
                <c:pt idx="3">
                  <c:v>56442088</c:v>
                </c:pt>
                <c:pt idx="4">
                  <c:v>24985268</c:v>
                </c:pt>
                <c:pt idx="5">
                  <c:v>30284294</c:v>
                </c:pt>
                <c:pt idx="6">
                  <c:v>46935156</c:v>
                </c:pt>
                <c:pt idx="7">
                  <c:v>32097442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F0-40CD-AA71-236B012659C0}"/>
            </c:ext>
          </c:extLst>
        </c:ser>
        <c:ser>
          <c:idx val="1"/>
          <c:order val="1"/>
          <c:tx>
            <c:strRef>
              <c:f>Sheet2!$C$3</c:f>
              <c:strCache>
                <c:ptCount val="1"/>
                <c:pt idx="0">
                  <c:v>Sum of Ad_Cost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Sheet2!$A$4:$A$12</c:f>
              <c:strCache>
                <c:ptCount val="8"/>
                <c:pt idx="0">
                  <c:v> EM</c:v>
                </c:pt>
                <c:pt idx="1">
                  <c:v> Email Marketing</c:v>
                </c:pt>
                <c:pt idx="2">
                  <c:v> Facebook Ads</c:v>
                </c:pt>
                <c:pt idx="3">
                  <c:v> FB</c:v>
                </c:pt>
                <c:pt idx="4">
                  <c:v> GG</c:v>
                </c:pt>
                <c:pt idx="5">
                  <c:v> Google Ads</c:v>
                </c:pt>
                <c:pt idx="6">
                  <c:v> TikTok Ads</c:v>
                </c:pt>
                <c:pt idx="7">
                  <c:v> TT</c:v>
                </c:pt>
              </c:strCache>
            </c:strRef>
          </c:cat>
          <c:val>
            <c:numRef>
              <c:f>Sheet2!$C$4:$C$12</c:f>
              <c:numCache>
                <c:formatCode>General</c:formatCode>
                <c:ptCount val="8"/>
                <c:pt idx="0">
                  <c:v>559590</c:v>
                </c:pt>
                <c:pt idx="1">
                  <c:v>459581</c:v>
                </c:pt>
                <c:pt idx="2">
                  <c:v>4912809</c:v>
                </c:pt>
                <c:pt idx="3">
                  <c:v>4507772</c:v>
                </c:pt>
                <c:pt idx="4">
                  <c:v>3173933</c:v>
                </c:pt>
                <c:pt idx="5">
                  <c:v>4004732</c:v>
                </c:pt>
                <c:pt idx="6">
                  <c:v>2617202</c:v>
                </c:pt>
                <c:pt idx="7">
                  <c:v>2158371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FF0-40CD-AA71-236B012659C0}"/>
            </c:ext>
          </c:extLst>
        </c:ser>
        <c:ser>
          <c:idx val="2"/>
          <c:order val="2"/>
          <c:tx>
            <c:strRef>
              <c:f>Sheet2!$D$3</c:f>
              <c:strCache>
                <c:ptCount val="1"/>
                <c:pt idx="0">
                  <c:v>Count of Ma_Don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Sheet2!$A$4:$A$12</c:f>
              <c:strCache>
                <c:ptCount val="8"/>
                <c:pt idx="0">
                  <c:v> EM</c:v>
                </c:pt>
                <c:pt idx="1">
                  <c:v> Email Marketing</c:v>
                </c:pt>
                <c:pt idx="2">
                  <c:v> Facebook Ads</c:v>
                </c:pt>
                <c:pt idx="3">
                  <c:v> FB</c:v>
                </c:pt>
                <c:pt idx="4">
                  <c:v> GG</c:v>
                </c:pt>
                <c:pt idx="5">
                  <c:v> Google Ads</c:v>
                </c:pt>
                <c:pt idx="6">
                  <c:v> TikTok Ads</c:v>
                </c:pt>
                <c:pt idx="7">
                  <c:v> TT</c:v>
                </c:pt>
              </c:strCache>
            </c:strRef>
          </c:cat>
          <c:val>
            <c:numRef>
              <c:f>Sheet2!$D$4:$D$12</c:f>
              <c:numCache>
                <c:formatCode>General</c:formatCode>
                <c:ptCount val="8"/>
                <c:pt idx="0">
                  <c:v>37</c:v>
                </c:pt>
                <c:pt idx="1">
                  <c:v>36</c:v>
                </c:pt>
                <c:pt idx="2">
                  <c:v>58</c:v>
                </c:pt>
                <c:pt idx="3">
                  <c:v>57</c:v>
                </c:pt>
                <c:pt idx="4">
                  <c:v>29</c:v>
                </c:pt>
                <c:pt idx="5">
                  <c:v>38</c:v>
                </c:pt>
                <c:pt idx="6">
                  <c:v>45</c:v>
                </c:pt>
                <c:pt idx="7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FF0-40CD-AA71-236B012659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97408975"/>
        <c:axId val="1897409391"/>
      </c:barChart>
      <c:catAx>
        <c:axId val="18974089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7409391"/>
        <c:crosses val="autoZero"/>
        <c:auto val="1"/>
        <c:lblAlgn val="ctr"/>
        <c:lblOffset val="100"/>
        <c:noMultiLvlLbl val="0"/>
      </c:catAx>
      <c:valAx>
        <c:axId val="18974093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74089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[Dataset_SS11_Bai2_Marketing.xlsx]Sheet2!PivotTable2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Sheet2!$B$18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Sheet2!$A$19:$A$27</c:f>
              <c:strCache>
                <c:ptCount val="8"/>
                <c:pt idx="0">
                  <c:v> EM</c:v>
                </c:pt>
                <c:pt idx="1">
                  <c:v> Email Marketing</c:v>
                </c:pt>
                <c:pt idx="2">
                  <c:v> Facebook Ads</c:v>
                </c:pt>
                <c:pt idx="3">
                  <c:v> FB</c:v>
                </c:pt>
                <c:pt idx="4">
                  <c:v> GG</c:v>
                </c:pt>
                <c:pt idx="5">
                  <c:v> Google Ads</c:v>
                </c:pt>
                <c:pt idx="6">
                  <c:v> TikTok Ads</c:v>
                </c:pt>
                <c:pt idx="7">
                  <c:v> TT</c:v>
                </c:pt>
              </c:strCache>
            </c:strRef>
          </c:cat>
          <c:val>
            <c:numRef>
              <c:f>Sheet2!$B$19:$B$27</c:f>
              <c:numCache>
                <c:formatCode>General</c:formatCode>
                <c:ptCount val="8"/>
                <c:pt idx="0">
                  <c:v>29</c:v>
                </c:pt>
                <c:pt idx="1">
                  <c:v>29</c:v>
                </c:pt>
                <c:pt idx="2">
                  <c:v>47</c:v>
                </c:pt>
                <c:pt idx="3">
                  <c:v>47</c:v>
                </c:pt>
                <c:pt idx="4">
                  <c:v>23</c:v>
                </c:pt>
                <c:pt idx="5">
                  <c:v>31</c:v>
                </c:pt>
                <c:pt idx="6">
                  <c:v>39</c:v>
                </c:pt>
                <c:pt idx="7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F9-47AD-81E1-EA877D4D9944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[Dataset_SS11_Bai2_Marketing.xlsx]Sheet2!PivotTable3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Sheet2!$B$34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Sheet2!$A$35:$A$45</c:f>
              <c:strCache>
                <c:ptCount val="10"/>
                <c:pt idx="0">
                  <c:v> Kem chống nắng </c:v>
                </c:pt>
                <c:pt idx="1">
                  <c:v> Kem dưỡng ẩm </c:v>
                </c:pt>
                <c:pt idx="2">
                  <c:v> Kem mắt </c:v>
                </c:pt>
                <c:pt idx="3">
                  <c:v> Mặt nạ collagen </c:v>
                </c:pt>
                <c:pt idx="4">
                  <c:v> Serum Vitamin C </c:v>
                </c:pt>
                <c:pt idx="5">
                  <c:v> Son dưỡng </c:v>
                </c:pt>
                <c:pt idx="6">
                  <c:v> Sữa rửa mặt </c:v>
                </c:pt>
                <c:pt idx="7">
                  <c:v> Tinh chất retinol </c:v>
                </c:pt>
                <c:pt idx="8">
                  <c:v> Toner </c:v>
                </c:pt>
                <c:pt idx="9">
                  <c:v> Xịt khoáng </c:v>
                </c:pt>
              </c:strCache>
            </c:strRef>
          </c:cat>
          <c:val>
            <c:numRef>
              <c:f>Sheet2!$B$35:$B$45</c:f>
              <c:numCache>
                <c:formatCode>General</c:formatCode>
                <c:ptCount val="10"/>
                <c:pt idx="0">
                  <c:v>37983372</c:v>
                </c:pt>
                <c:pt idx="1">
                  <c:v>28424679</c:v>
                </c:pt>
                <c:pt idx="2">
                  <c:v>28837564</c:v>
                </c:pt>
                <c:pt idx="3">
                  <c:v>24503763</c:v>
                </c:pt>
                <c:pt idx="4">
                  <c:v>36349172</c:v>
                </c:pt>
                <c:pt idx="5">
                  <c:v>22747917</c:v>
                </c:pt>
                <c:pt idx="6">
                  <c:v>33379258</c:v>
                </c:pt>
                <c:pt idx="7">
                  <c:v>39796438</c:v>
                </c:pt>
                <c:pt idx="8">
                  <c:v>31710794</c:v>
                </c:pt>
                <c:pt idx="9">
                  <c:v>21804120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20A-4C20-B6BA-6711EC8CA5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01683727"/>
        <c:axId val="1901684559"/>
      </c:lineChart>
      <c:catAx>
        <c:axId val="19016837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1684559"/>
        <c:crosses val="autoZero"/>
        <c:auto val="1"/>
        <c:lblAlgn val="ctr"/>
        <c:lblOffset val="100"/>
        <c:noMultiLvlLbl val="0"/>
      </c:catAx>
      <c:valAx>
        <c:axId val="1901684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16837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[Dataset_SS11_Bai2_Marketing.xlsx]Sheet2!PivotTable4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Sheet2!$B$50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Sheet2!$A$51:$A$75</c:f>
              <c:strCache>
                <c:ptCount val="24"/>
                <c:pt idx="0">
                  <c:v>2</c:v>
                </c:pt>
                <c:pt idx="1">
                  <c:v>6</c:v>
                </c:pt>
                <c:pt idx="2">
                  <c:v>7</c:v>
                </c:pt>
                <c:pt idx="3">
                  <c:v>10</c:v>
                </c:pt>
                <c:pt idx="4">
                  <c:v>11</c:v>
                </c:pt>
                <c:pt idx="5">
                  <c:v>15</c:v>
                </c:pt>
                <c:pt idx="6">
                  <c:v>19</c:v>
                </c:pt>
                <c:pt idx="7">
                  <c:v>24</c:v>
                </c:pt>
                <c:pt idx="8">
                  <c:v>28</c:v>
                </c:pt>
                <c:pt idx="9">
                  <c:v>32</c:v>
                </c:pt>
                <c:pt idx="10">
                  <c:v>33</c:v>
                </c:pt>
                <c:pt idx="11">
                  <c:v>37</c:v>
                </c:pt>
                <c:pt idx="12">
                  <c:v>41</c:v>
                </c:pt>
                <c:pt idx="13">
                  <c:v>42</c:v>
                </c:pt>
                <c:pt idx="14">
                  <c:v>43</c:v>
                </c:pt>
                <c:pt idx="15">
                  <c:v>44</c:v>
                </c:pt>
                <c:pt idx="16">
                  <c:v>45</c:v>
                </c:pt>
                <c:pt idx="17">
                  <c:v>46</c:v>
                </c:pt>
                <c:pt idx="18">
                  <c:v>47</c:v>
                </c:pt>
                <c:pt idx="19">
                  <c:v>48</c:v>
                </c:pt>
                <c:pt idx="20">
                  <c:v>50</c:v>
                </c:pt>
                <c:pt idx="21">
                  <c:v>51</c:v>
                </c:pt>
                <c:pt idx="22">
                  <c:v>52</c:v>
                </c:pt>
                <c:pt idx="23">
                  <c:v>53</c:v>
                </c:pt>
              </c:strCache>
            </c:strRef>
          </c:cat>
          <c:val>
            <c:numRef>
              <c:f>Sheet2!$B$51:$B$75</c:f>
              <c:numCache>
                <c:formatCode>General</c:formatCode>
                <c:ptCount val="24"/>
                <c:pt idx="0">
                  <c:v>10765455</c:v>
                </c:pt>
                <c:pt idx="1">
                  <c:v>8348739</c:v>
                </c:pt>
                <c:pt idx="2">
                  <c:v>4971536</c:v>
                </c:pt>
                <c:pt idx="3">
                  <c:v>1516344</c:v>
                </c:pt>
                <c:pt idx="4">
                  <c:v>5097521</c:v>
                </c:pt>
                <c:pt idx="5">
                  <c:v>12749360</c:v>
                </c:pt>
                <c:pt idx="6">
                  <c:v>10793524</c:v>
                </c:pt>
                <c:pt idx="7">
                  <c:v>11046153</c:v>
                </c:pt>
                <c:pt idx="8">
                  <c:v>13039298</c:v>
                </c:pt>
                <c:pt idx="9">
                  <c:v>4587286</c:v>
                </c:pt>
                <c:pt idx="10">
                  <c:v>3373702</c:v>
                </c:pt>
                <c:pt idx="11">
                  <c:v>8746811</c:v>
                </c:pt>
                <c:pt idx="12">
                  <c:v>15602938</c:v>
                </c:pt>
                <c:pt idx="13">
                  <c:v>21403670</c:v>
                </c:pt>
                <c:pt idx="14">
                  <c:v>24496946</c:v>
                </c:pt>
                <c:pt idx="15">
                  <c:v>10186343</c:v>
                </c:pt>
                <c:pt idx="16">
                  <c:v>8700787</c:v>
                </c:pt>
                <c:pt idx="17">
                  <c:v>22923431</c:v>
                </c:pt>
                <c:pt idx="18">
                  <c:v>22206141</c:v>
                </c:pt>
                <c:pt idx="19">
                  <c:v>18996254</c:v>
                </c:pt>
                <c:pt idx="20">
                  <c:v>22638014</c:v>
                </c:pt>
                <c:pt idx="21">
                  <c:v>17080915</c:v>
                </c:pt>
                <c:pt idx="22">
                  <c:v>16971376</c:v>
                </c:pt>
                <c:pt idx="23">
                  <c:v>9294533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77-4026-B0EB-C18484DA60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59866767"/>
        <c:axId val="1959865519"/>
      </c:barChart>
      <c:catAx>
        <c:axId val="1959866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9865519"/>
        <c:crosses val="autoZero"/>
        <c:auto val="1"/>
        <c:lblAlgn val="ctr"/>
        <c:lblOffset val="100"/>
        <c:noMultiLvlLbl val="0"/>
      </c:catAx>
      <c:valAx>
        <c:axId val="1959865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98667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[Dataset_SS11_Bai2_Marketing.xlsx]Sheet2!PivotTable5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Sheet2!$B$79:$B$80</c:f>
              <c:strCache>
                <c:ptCount val="1"/>
                <c:pt idx="0">
                  <c:v>Đã hủy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Sheet2!$A$81:$A$89</c:f>
              <c:strCache>
                <c:ptCount val="8"/>
                <c:pt idx="0">
                  <c:v> EM</c:v>
                </c:pt>
                <c:pt idx="1">
                  <c:v> Email Marketing</c:v>
                </c:pt>
                <c:pt idx="2">
                  <c:v> Facebook Ads</c:v>
                </c:pt>
                <c:pt idx="3">
                  <c:v> FB</c:v>
                </c:pt>
                <c:pt idx="4">
                  <c:v> GG</c:v>
                </c:pt>
                <c:pt idx="5">
                  <c:v> Google Ads</c:v>
                </c:pt>
                <c:pt idx="6">
                  <c:v> TikTok Ads</c:v>
                </c:pt>
                <c:pt idx="7">
                  <c:v> TT</c:v>
                </c:pt>
              </c:strCache>
            </c:strRef>
          </c:cat>
          <c:val>
            <c:numRef>
              <c:f>Sheet2!$B$81:$B$89</c:f>
              <c:numCache>
                <c:formatCode>General</c:formatCode>
                <c:ptCount val="8"/>
                <c:pt idx="0">
                  <c:v>8</c:v>
                </c:pt>
                <c:pt idx="1">
                  <c:v>7</c:v>
                </c:pt>
                <c:pt idx="2">
                  <c:v>11</c:v>
                </c:pt>
                <c:pt idx="3">
                  <c:v>10</c:v>
                </c:pt>
                <c:pt idx="4">
                  <c:v>6</c:v>
                </c:pt>
                <c:pt idx="5">
                  <c:v>7</c:v>
                </c:pt>
                <c:pt idx="6">
                  <c:v>6</c:v>
                </c:pt>
                <c:pt idx="7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D0-4FB5-810E-0C84D5896E7A}"/>
            </c:ext>
          </c:extLst>
        </c:ser>
        <c:ser>
          <c:idx val="1"/>
          <c:order val="1"/>
          <c:tx>
            <c:strRef>
              <c:f>Sheet2!$C$79:$C$80</c:f>
              <c:strCache>
                <c:ptCount val="1"/>
                <c:pt idx="0">
                  <c:v>Thành công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Sheet2!$A$81:$A$89</c:f>
              <c:strCache>
                <c:ptCount val="8"/>
                <c:pt idx="0">
                  <c:v> EM</c:v>
                </c:pt>
                <c:pt idx="1">
                  <c:v> Email Marketing</c:v>
                </c:pt>
                <c:pt idx="2">
                  <c:v> Facebook Ads</c:v>
                </c:pt>
                <c:pt idx="3">
                  <c:v> FB</c:v>
                </c:pt>
                <c:pt idx="4">
                  <c:v> GG</c:v>
                </c:pt>
                <c:pt idx="5">
                  <c:v> Google Ads</c:v>
                </c:pt>
                <c:pt idx="6">
                  <c:v> TikTok Ads</c:v>
                </c:pt>
                <c:pt idx="7">
                  <c:v> TT</c:v>
                </c:pt>
              </c:strCache>
            </c:strRef>
          </c:cat>
          <c:val>
            <c:numRef>
              <c:f>Sheet2!$C$81:$C$89</c:f>
              <c:numCache>
                <c:formatCode>General</c:formatCode>
                <c:ptCount val="8"/>
                <c:pt idx="0">
                  <c:v>29</c:v>
                </c:pt>
                <c:pt idx="1">
                  <c:v>29</c:v>
                </c:pt>
                <c:pt idx="2">
                  <c:v>47</c:v>
                </c:pt>
                <c:pt idx="3">
                  <c:v>47</c:v>
                </c:pt>
                <c:pt idx="4">
                  <c:v>23</c:v>
                </c:pt>
                <c:pt idx="5">
                  <c:v>31</c:v>
                </c:pt>
                <c:pt idx="6">
                  <c:v>39</c:v>
                </c:pt>
                <c:pt idx="7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ED0-4FB5-810E-0C84D5896E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71536991"/>
        <c:axId val="2071537407"/>
      </c:barChart>
      <c:catAx>
        <c:axId val="20715369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1537407"/>
        <c:crosses val="autoZero"/>
        <c:auto val="1"/>
        <c:lblAlgn val="ctr"/>
        <c:lblOffset val="100"/>
        <c:noMultiLvlLbl val="0"/>
      </c:catAx>
      <c:valAx>
        <c:axId val="20715374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15369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421608</xdr:colOff>
      <xdr:row>1</xdr:row>
      <xdr:rowOff>96923</xdr:rowOff>
    </xdr:from>
    <xdr:to>
      <xdr:col>12</xdr:col>
      <xdr:colOff>390293</xdr:colOff>
      <xdr:row>13</xdr:row>
      <xdr:rowOff>83635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74E7E2B-AD31-4838-93BE-E4C4AD75BA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1017548</xdr:colOff>
      <xdr:row>14</xdr:row>
      <xdr:rowOff>110582</xdr:rowOff>
    </xdr:from>
    <xdr:to>
      <xdr:col>9</xdr:col>
      <xdr:colOff>492512</xdr:colOff>
      <xdr:row>28</xdr:row>
      <xdr:rowOff>37170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DD69077-4904-4E7F-A543-8EEFC3A4D6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627256</xdr:colOff>
      <xdr:row>31</xdr:row>
      <xdr:rowOff>73412</xdr:rowOff>
    </xdr:from>
    <xdr:to>
      <xdr:col>9</xdr:col>
      <xdr:colOff>473927</xdr:colOff>
      <xdr:row>46</xdr:row>
      <xdr:rowOff>28807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C56F683-02C1-4A84-9E63-9C7F4DF317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525037</xdr:colOff>
      <xdr:row>49</xdr:row>
      <xdr:rowOff>36241</xdr:rowOff>
    </xdr:from>
    <xdr:to>
      <xdr:col>11</xdr:col>
      <xdr:colOff>111512</xdr:colOff>
      <xdr:row>74</xdr:row>
      <xdr:rowOff>55756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2491A37-80F2-466C-AF41-3C3F72F582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329890</xdr:colOff>
      <xdr:row>76</xdr:row>
      <xdr:rowOff>8364</xdr:rowOff>
    </xdr:from>
    <xdr:to>
      <xdr:col>11</xdr:col>
      <xdr:colOff>608671</xdr:colOff>
      <xdr:row>90</xdr:row>
      <xdr:rowOff>149613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11688F7-0FDD-4F14-9294-15DBD6AE82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049.472284143521" createdVersion="7" refreshedVersion="7" minRefreshableVersion="3" recordCount="340" xr:uid="{76F9CA2A-40C8-4918-8C33-8C42D7F77128}">
  <cacheSource type="worksheet">
    <worksheetSource name="Table1"/>
  </cacheSource>
  <cacheFields count="9">
    <cacheField name="Ma_Don" numFmtId="0">
      <sharedItems/>
    </cacheField>
    <cacheField name="San_Pham" numFmtId="0">
      <sharedItems count="10">
        <s v=" Serum Vitamin C "/>
        <s v=" Sữa rửa mặt "/>
        <s v=" Tinh chất retinol "/>
        <s v=" Toner "/>
        <s v=" Kem dưỡng ẩm "/>
        <s v=" Xịt khoáng "/>
        <s v=" Son dưỡng "/>
        <s v=" Mặt nạ collagen "/>
        <s v=" Kem mắt "/>
        <s v=" Kem chống nắng "/>
      </sharedItems>
    </cacheField>
    <cacheField name="Kênh" numFmtId="0">
      <sharedItems count="8">
        <s v=" Facebook Ads"/>
        <s v=" EM"/>
        <s v=" Google Ads"/>
        <s v=" FB"/>
        <s v=" GG"/>
        <s v=" TT"/>
        <s v=" TikTok Ads"/>
        <s v=" Email Marketing"/>
      </sharedItems>
    </cacheField>
    <cacheField name="Ad_Cost" numFmtId="0">
      <sharedItems containsSemiMixedTypes="0" containsString="0" containsNumber="1" containsInteger="1" minValue="24" maxValue="199874"/>
    </cacheField>
    <cacheField name="Revenue" numFmtId="0">
      <sharedItems containsSemiMixedTypes="0" containsString="0" containsNumber="1" containsInteger="1" minValue="0" maxValue="1995287"/>
    </cacheField>
    <cacheField name="Status" numFmtId="0">
      <sharedItems count="2">
        <s v="Thành công"/>
        <s v="Đã hủy"/>
      </sharedItems>
    </cacheField>
    <cacheField name="Ngay_Dat" numFmtId="14">
      <sharedItems containsSemiMixedTypes="0" containsNonDate="0" containsDate="1" containsString="0" minDate="2024-01-10T00:00:00" maxDate="2025-01-01T00:00:00"/>
    </cacheField>
    <cacheField name="Tuần" numFmtId="0">
      <sharedItems containsSemiMixedTypes="0" containsString="0" containsNumber="1" containsInteger="1" minValue="2" maxValue="53" count="24">
        <n v="47"/>
        <n v="50"/>
        <n v="42"/>
        <n v="46"/>
        <n v="51"/>
        <n v="15"/>
        <n v="43"/>
        <n v="37"/>
        <n v="19"/>
        <n v="48"/>
        <n v="41"/>
        <n v="24"/>
        <n v="11"/>
        <n v="2"/>
        <n v="52"/>
        <n v="10"/>
        <n v="28"/>
        <n v="33"/>
        <n v="45"/>
        <n v="6"/>
        <n v="7"/>
        <n v="44"/>
        <n v="53"/>
        <n v="32"/>
      </sharedItems>
    </cacheField>
    <cacheField name="Lợi Nhuận" numFmtId="0">
      <sharedItems containsSemiMixedTypes="0" containsString="0" containsNumber="1" containsInteger="1" minValue="0" maxValue="195865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0">
  <r>
    <s v="ORD_0215 "/>
    <x v="0"/>
    <x v="0"/>
    <n v="125114"/>
    <n v="1232047"/>
    <x v="0"/>
    <d v="2024-11-23T00:00:00"/>
    <x v="0"/>
    <n v="1106933"/>
  </r>
  <r>
    <s v="ORD_0280 "/>
    <x v="1"/>
    <x v="0"/>
    <n v="61133"/>
    <n v="0"/>
    <x v="1"/>
    <d v="2024-12-15T00:00:00"/>
    <x v="1"/>
    <n v="0"/>
  </r>
  <r>
    <s v="ORD_0285 "/>
    <x v="1"/>
    <x v="1"/>
    <n v="26822"/>
    <n v="1453244"/>
    <x v="0"/>
    <d v="2024-10-20T00:00:00"/>
    <x v="2"/>
    <n v="1426422"/>
  </r>
  <r>
    <s v="ORD_0302 "/>
    <x v="2"/>
    <x v="0"/>
    <n v="36733"/>
    <n v="1939972"/>
    <x v="0"/>
    <d v="2024-11-16T00:00:00"/>
    <x v="3"/>
    <n v="1903239"/>
  </r>
  <r>
    <s v="ORD_0117 "/>
    <x v="1"/>
    <x v="1"/>
    <n v="11573"/>
    <n v="1774467"/>
    <x v="0"/>
    <d v="2024-11-12T00:00:00"/>
    <x v="3"/>
    <n v="1762894"/>
  </r>
  <r>
    <s v="ORD_0164 "/>
    <x v="3"/>
    <x v="2"/>
    <n v="103141"/>
    <n v="0"/>
    <x v="1"/>
    <d v="2024-12-20T00:00:00"/>
    <x v="4"/>
    <n v="0"/>
  </r>
  <r>
    <s v="ORD_0150 "/>
    <x v="0"/>
    <x v="3"/>
    <n v="117796"/>
    <n v="875995"/>
    <x v="0"/>
    <d v="2024-04-11T00:00:00"/>
    <x v="5"/>
    <n v="758199"/>
  </r>
  <r>
    <s v="ORD_0057 "/>
    <x v="4"/>
    <x v="4"/>
    <n v="8555"/>
    <n v="378936"/>
    <x v="0"/>
    <d v="2024-10-16T00:00:00"/>
    <x v="2"/>
    <n v="370381"/>
  </r>
  <r>
    <s v="ORD_0212 "/>
    <x v="5"/>
    <x v="4"/>
    <n v="156402"/>
    <n v="376836"/>
    <x v="0"/>
    <d v="2024-11-20T00:00:00"/>
    <x v="0"/>
    <n v="220434"/>
  </r>
  <r>
    <s v="ORD_0121 "/>
    <x v="6"/>
    <x v="0"/>
    <n v="11628"/>
    <n v="1285965"/>
    <x v="0"/>
    <d v="2024-10-21T00:00:00"/>
    <x v="6"/>
    <n v="1274337"/>
  </r>
  <r>
    <s v="ORD_0051 "/>
    <x v="7"/>
    <x v="2"/>
    <n v="146834"/>
    <n v="256412"/>
    <x v="0"/>
    <d v="2024-09-11T00:00:00"/>
    <x v="7"/>
    <n v="109578"/>
  </r>
  <r>
    <s v="ORD_0189 "/>
    <x v="4"/>
    <x v="5"/>
    <n v="93792"/>
    <n v="1698250"/>
    <x v="0"/>
    <d v="2024-11-15T00:00:00"/>
    <x v="3"/>
    <n v="1604458"/>
  </r>
  <r>
    <s v="ORD_0123 "/>
    <x v="2"/>
    <x v="5"/>
    <n v="47964"/>
    <n v="329468"/>
    <x v="0"/>
    <d v="2024-05-11T00:00:00"/>
    <x v="8"/>
    <n v="281504"/>
  </r>
  <r>
    <s v="ORD_0109 "/>
    <x v="0"/>
    <x v="4"/>
    <n v="96372"/>
    <n v="1490988"/>
    <x v="0"/>
    <d v="2024-11-27T00:00:00"/>
    <x v="9"/>
    <n v="1394616"/>
  </r>
  <r>
    <s v="ORD_0208 "/>
    <x v="0"/>
    <x v="6"/>
    <n v="49932"/>
    <n v="805516"/>
    <x v="0"/>
    <d v="2024-10-10T00:00:00"/>
    <x v="10"/>
    <n v="755584"/>
  </r>
  <r>
    <s v="ORD_0060 "/>
    <x v="2"/>
    <x v="2"/>
    <n v="67368"/>
    <n v="0"/>
    <x v="1"/>
    <d v="2024-12-14T00:00:00"/>
    <x v="1"/>
    <n v="0"/>
  </r>
  <r>
    <s v="ORD_0087 "/>
    <x v="6"/>
    <x v="1"/>
    <n v="25418"/>
    <n v="342139"/>
    <x v="0"/>
    <d v="2024-10-15T00:00:00"/>
    <x v="2"/>
    <n v="316721"/>
  </r>
  <r>
    <s v="ORD_0112 "/>
    <x v="2"/>
    <x v="1"/>
    <n v="25017"/>
    <n v="380396"/>
    <x v="0"/>
    <d v="2024-06-10T00:00:00"/>
    <x v="11"/>
    <n v="355379"/>
  </r>
  <r>
    <s v="ORD_0020 "/>
    <x v="3"/>
    <x v="4"/>
    <n v="166956"/>
    <n v="0"/>
    <x v="1"/>
    <d v="2024-10-15T00:00:00"/>
    <x v="2"/>
    <n v="0"/>
  </r>
  <r>
    <s v="ORD_0148 "/>
    <x v="6"/>
    <x v="4"/>
    <n v="155532"/>
    <n v="1933313"/>
    <x v="0"/>
    <d v="2024-06-11T00:00:00"/>
    <x v="11"/>
    <n v="1777781"/>
  </r>
  <r>
    <s v="ORD_0308 "/>
    <x v="8"/>
    <x v="1"/>
    <n v="16972"/>
    <n v="360473"/>
    <x v="0"/>
    <d v="2024-03-11T00:00:00"/>
    <x v="12"/>
    <n v="343501"/>
  </r>
  <r>
    <s v="ORD_0252 "/>
    <x v="2"/>
    <x v="6"/>
    <n v="91337"/>
    <n v="1073103"/>
    <x v="0"/>
    <d v="2024-04-10T00:00:00"/>
    <x v="5"/>
    <n v="981766"/>
  </r>
  <r>
    <s v="ORD_0197 "/>
    <x v="0"/>
    <x v="3"/>
    <n v="54558"/>
    <n v="995104"/>
    <x v="0"/>
    <d v="2024-01-11T00:00:00"/>
    <x v="13"/>
    <n v="940546"/>
  </r>
  <r>
    <s v="ORD_0083 "/>
    <x v="9"/>
    <x v="4"/>
    <n v="67251"/>
    <n v="1052035"/>
    <x v="0"/>
    <d v="2024-12-20T00:00:00"/>
    <x v="4"/>
    <n v="984784"/>
  </r>
  <r>
    <s v="ORD_0162 "/>
    <x v="6"/>
    <x v="4"/>
    <n v="672"/>
    <n v="1612562"/>
    <x v="0"/>
    <d v="2024-09-11T00:00:00"/>
    <x v="7"/>
    <n v="1611890"/>
  </r>
  <r>
    <s v="ORD_0334 "/>
    <x v="4"/>
    <x v="3"/>
    <n v="83074"/>
    <n v="0"/>
    <x v="1"/>
    <d v="2024-10-24T00:00:00"/>
    <x v="6"/>
    <n v="0"/>
  </r>
  <r>
    <s v="ORD_0107 "/>
    <x v="4"/>
    <x v="5"/>
    <n v="24234"/>
    <n v="926936"/>
    <x v="0"/>
    <d v="2024-12-27T00:00:00"/>
    <x v="14"/>
    <n v="902702"/>
  </r>
  <r>
    <s v="ORD_0289 "/>
    <x v="1"/>
    <x v="0"/>
    <n v="126085"/>
    <n v="561231"/>
    <x v="0"/>
    <d v="2024-03-10T00:00:00"/>
    <x v="15"/>
    <n v="435146"/>
  </r>
  <r>
    <s v="ORD_0031 "/>
    <x v="6"/>
    <x v="5"/>
    <n v="87422"/>
    <n v="1436718"/>
    <x v="0"/>
    <d v="2024-12-20T00:00:00"/>
    <x v="4"/>
    <n v="1349296"/>
  </r>
  <r>
    <s v="ORD_0187 "/>
    <x v="6"/>
    <x v="5"/>
    <n v="30597"/>
    <n v="1077051"/>
    <x v="0"/>
    <d v="2024-07-12T00:00:00"/>
    <x v="16"/>
    <n v="1046454"/>
  </r>
  <r>
    <s v="ORD_0331 "/>
    <x v="3"/>
    <x v="6"/>
    <n v="82557"/>
    <n v="1302666"/>
    <x v="0"/>
    <d v="2024-08-12T00:00:00"/>
    <x v="17"/>
    <n v="1220109"/>
  </r>
  <r>
    <s v="ORD_0143 "/>
    <x v="4"/>
    <x v="2"/>
    <n v="58311"/>
    <n v="1746739"/>
    <x v="0"/>
    <d v="2024-12-11T00:00:00"/>
    <x v="1"/>
    <n v="1688428"/>
  </r>
  <r>
    <s v="ORD_0002 "/>
    <x v="5"/>
    <x v="6"/>
    <n v="53272"/>
    <n v="1596681"/>
    <x v="0"/>
    <d v="2024-10-22T00:00:00"/>
    <x v="6"/>
    <n v="1543409"/>
  </r>
  <r>
    <s v="ORD_0326 "/>
    <x v="6"/>
    <x v="2"/>
    <n v="81606"/>
    <n v="288004"/>
    <x v="0"/>
    <d v="2024-12-11T00:00:00"/>
    <x v="1"/>
    <n v="206398"/>
  </r>
  <r>
    <s v="ORD_0273 "/>
    <x v="3"/>
    <x v="0"/>
    <n v="48074"/>
    <n v="338806"/>
    <x v="0"/>
    <d v="2024-10-15T00:00:00"/>
    <x v="2"/>
    <n v="290732"/>
  </r>
  <r>
    <s v="ORD_0067 "/>
    <x v="7"/>
    <x v="3"/>
    <n v="52465"/>
    <n v="802089"/>
    <x v="0"/>
    <d v="2024-10-27T00:00:00"/>
    <x v="6"/>
    <n v="749624"/>
  </r>
  <r>
    <s v="ORD_0014 "/>
    <x v="0"/>
    <x v="1"/>
    <n v="5038"/>
    <n v="446658"/>
    <x v="0"/>
    <d v="2024-11-15T00:00:00"/>
    <x v="3"/>
    <n v="441620"/>
  </r>
  <r>
    <s v="ORD_0294 "/>
    <x v="0"/>
    <x v="1"/>
    <n v="7824"/>
    <n v="1264199"/>
    <x v="0"/>
    <d v="2024-07-10T00:00:00"/>
    <x v="16"/>
    <n v="1256375"/>
  </r>
  <r>
    <s v="ORD_0328 "/>
    <x v="1"/>
    <x v="0"/>
    <n v="110808"/>
    <n v="386222"/>
    <x v="0"/>
    <d v="2024-12-20T00:00:00"/>
    <x v="4"/>
    <n v="275414"/>
  </r>
  <r>
    <s v="ORD_0209 "/>
    <x v="8"/>
    <x v="3"/>
    <n v="124873"/>
    <n v="1396454"/>
    <x v="0"/>
    <d v="2024-07-12T00:00:00"/>
    <x v="16"/>
    <n v="1271581"/>
  </r>
  <r>
    <s v="ORD_0095 "/>
    <x v="2"/>
    <x v="3"/>
    <n v="6322"/>
    <n v="1782419"/>
    <x v="0"/>
    <d v="2024-09-11T00:00:00"/>
    <x v="7"/>
    <n v="1776097"/>
  </r>
  <r>
    <s v="ORD_0338 "/>
    <x v="5"/>
    <x v="0"/>
    <n v="127343"/>
    <n v="1625136"/>
    <x v="0"/>
    <d v="2024-10-25T00:00:00"/>
    <x v="6"/>
    <n v="1497793"/>
  </r>
  <r>
    <s v="ORD_0170 "/>
    <x v="2"/>
    <x v="0"/>
    <n v="14801"/>
    <n v="634730"/>
    <x v="0"/>
    <d v="2024-09-12T00:00:00"/>
    <x v="7"/>
    <n v="619929"/>
  </r>
  <r>
    <s v="ORD_0003 "/>
    <x v="0"/>
    <x v="0"/>
    <n v="119748"/>
    <n v="216309"/>
    <x v="0"/>
    <d v="2024-12-21T00:00:00"/>
    <x v="4"/>
    <n v="96561"/>
  </r>
  <r>
    <s v="ORD_0027 "/>
    <x v="0"/>
    <x v="1"/>
    <n v="884"/>
    <n v="1662171"/>
    <x v="0"/>
    <d v="2024-10-24T00:00:00"/>
    <x v="6"/>
    <n v="1661287"/>
  </r>
  <r>
    <s v="ORD_0156 "/>
    <x v="8"/>
    <x v="4"/>
    <n v="160671"/>
    <n v="501263"/>
    <x v="0"/>
    <d v="2024-04-12T00:00:00"/>
    <x v="5"/>
    <n v="340592"/>
  </r>
  <r>
    <s v="ORD_0259 "/>
    <x v="3"/>
    <x v="6"/>
    <n v="44589"/>
    <n v="0"/>
    <x v="1"/>
    <d v="2024-12-12T00:00:00"/>
    <x v="1"/>
    <n v="0"/>
  </r>
  <r>
    <s v="ORD_0192 "/>
    <x v="4"/>
    <x v="0"/>
    <n v="99973"/>
    <n v="0"/>
    <x v="1"/>
    <d v="2024-12-23T00:00:00"/>
    <x v="14"/>
    <n v="0"/>
  </r>
  <r>
    <s v="ORD_0106 "/>
    <x v="7"/>
    <x v="3"/>
    <n v="112655"/>
    <n v="0"/>
    <x v="1"/>
    <d v="2024-12-23T00:00:00"/>
    <x v="14"/>
    <n v="0"/>
  </r>
  <r>
    <s v="ORD_0077 "/>
    <x v="9"/>
    <x v="3"/>
    <n v="53743"/>
    <n v="1543749"/>
    <x v="0"/>
    <d v="2024-11-10T00:00:00"/>
    <x v="18"/>
    <n v="1490006"/>
  </r>
  <r>
    <s v="ORD_0045 "/>
    <x v="4"/>
    <x v="7"/>
    <n v="17838"/>
    <n v="955113"/>
    <x v="0"/>
    <d v="2024-03-10T00:00:00"/>
    <x v="15"/>
    <n v="937275"/>
  </r>
  <r>
    <s v="ORD_0284 "/>
    <x v="7"/>
    <x v="0"/>
    <n v="136783"/>
    <n v="0"/>
    <x v="1"/>
    <d v="2024-11-10T00:00:00"/>
    <x v="18"/>
    <n v="0"/>
  </r>
  <r>
    <s v="ORD_0080 "/>
    <x v="5"/>
    <x v="6"/>
    <n v="62458"/>
    <n v="1884887"/>
    <x v="0"/>
    <d v="2024-11-25T00:00:00"/>
    <x v="9"/>
    <n v="1822429"/>
  </r>
  <r>
    <s v="ORD_0279 "/>
    <x v="9"/>
    <x v="3"/>
    <n v="126243"/>
    <n v="318224"/>
    <x v="0"/>
    <d v="2024-09-10T00:00:00"/>
    <x v="7"/>
    <n v="191981"/>
  </r>
  <r>
    <s v="ORD_0086 "/>
    <x v="1"/>
    <x v="3"/>
    <n v="6333"/>
    <n v="1729898"/>
    <x v="0"/>
    <d v="2024-02-10T00:00:00"/>
    <x v="19"/>
    <n v="1723565"/>
  </r>
  <r>
    <s v="ORD_0044 "/>
    <x v="7"/>
    <x v="2"/>
    <n v="58461"/>
    <n v="0"/>
    <x v="1"/>
    <d v="2024-11-28T00:00:00"/>
    <x v="9"/>
    <n v="0"/>
  </r>
  <r>
    <s v="ORD_0116 "/>
    <x v="2"/>
    <x v="1"/>
    <n v="28649"/>
    <n v="524848"/>
    <x v="0"/>
    <d v="2024-09-10T00:00:00"/>
    <x v="7"/>
    <n v="496199"/>
  </r>
  <r>
    <s v="ORD_0210 "/>
    <x v="7"/>
    <x v="5"/>
    <n v="4933"/>
    <n v="0"/>
    <x v="1"/>
    <d v="2024-10-17T00:00:00"/>
    <x v="2"/>
    <n v="0"/>
  </r>
  <r>
    <s v="ORD_0137 "/>
    <x v="6"/>
    <x v="2"/>
    <n v="80219"/>
    <n v="862604"/>
    <x v="0"/>
    <d v="2024-12-20T00:00:00"/>
    <x v="4"/>
    <n v="782385"/>
  </r>
  <r>
    <s v="ORD_0238 "/>
    <x v="6"/>
    <x v="4"/>
    <n v="110645"/>
    <n v="1137479"/>
    <x v="0"/>
    <d v="2024-02-12T00:00:00"/>
    <x v="20"/>
    <n v="1026834"/>
  </r>
  <r>
    <s v="ORD_0108 "/>
    <x v="9"/>
    <x v="6"/>
    <n v="85682"/>
    <n v="1124647"/>
    <x v="0"/>
    <d v="2024-10-23T00:00:00"/>
    <x v="6"/>
    <n v="1038965"/>
  </r>
  <r>
    <s v="ORD_0337 "/>
    <x v="1"/>
    <x v="0"/>
    <n v="40279"/>
    <n v="852393"/>
    <x v="0"/>
    <d v="2024-10-23T00:00:00"/>
    <x v="6"/>
    <n v="812114"/>
  </r>
  <r>
    <s v="ORD_0237 "/>
    <x v="0"/>
    <x v="6"/>
    <n v="63335"/>
    <n v="861484"/>
    <x v="0"/>
    <d v="2024-02-11T00:00:00"/>
    <x v="19"/>
    <n v="798149"/>
  </r>
  <r>
    <s v="ORD_0260 "/>
    <x v="0"/>
    <x v="4"/>
    <n v="131933"/>
    <n v="629171"/>
    <x v="0"/>
    <d v="2024-12-14T00:00:00"/>
    <x v="1"/>
    <n v="497238"/>
  </r>
  <r>
    <s v="ORD_0081 "/>
    <x v="9"/>
    <x v="7"/>
    <n v="14704"/>
    <n v="1594757"/>
    <x v="0"/>
    <d v="2024-05-10T00:00:00"/>
    <x v="8"/>
    <n v="1580053"/>
  </r>
  <r>
    <s v="ORD_0155 "/>
    <x v="4"/>
    <x v="1"/>
    <n v="10225"/>
    <n v="0"/>
    <x v="1"/>
    <d v="2024-10-17T00:00:00"/>
    <x v="2"/>
    <n v="0"/>
  </r>
  <r>
    <s v="ORD_0011 "/>
    <x v="0"/>
    <x v="0"/>
    <n v="123825"/>
    <n v="868461"/>
    <x v="0"/>
    <d v="2024-10-18T00:00:00"/>
    <x v="2"/>
    <n v="744636"/>
  </r>
  <r>
    <s v="ORD_0219 "/>
    <x v="9"/>
    <x v="0"/>
    <n v="145799"/>
    <n v="793863"/>
    <x v="0"/>
    <d v="2024-12-20T00:00:00"/>
    <x v="4"/>
    <n v="648064"/>
  </r>
  <r>
    <s v="ORD_0037 "/>
    <x v="3"/>
    <x v="0"/>
    <n v="35321"/>
    <n v="1628834"/>
    <x v="0"/>
    <d v="2024-07-11T00:00:00"/>
    <x v="16"/>
    <n v="1593513"/>
  </r>
  <r>
    <s v="ORD_0320 "/>
    <x v="3"/>
    <x v="6"/>
    <n v="29282"/>
    <n v="1492638"/>
    <x v="0"/>
    <d v="2024-11-19T00:00:00"/>
    <x v="0"/>
    <n v="1463356"/>
  </r>
  <r>
    <s v="ORD_0040 "/>
    <x v="2"/>
    <x v="0"/>
    <n v="144606"/>
    <n v="490364"/>
    <x v="0"/>
    <d v="2024-02-11T00:00:00"/>
    <x v="19"/>
    <n v="345758"/>
  </r>
  <r>
    <s v="ORD_0332 "/>
    <x v="1"/>
    <x v="5"/>
    <n v="8082"/>
    <n v="239440"/>
    <x v="0"/>
    <d v="2024-10-27T00:00:00"/>
    <x v="6"/>
    <n v="231358"/>
  </r>
  <r>
    <s v="ORD_0104 "/>
    <x v="4"/>
    <x v="5"/>
    <n v="68511"/>
    <n v="1477550"/>
    <x v="0"/>
    <d v="2024-02-10T00:00:00"/>
    <x v="19"/>
    <n v="1409039"/>
  </r>
  <r>
    <s v="ORD_0021 "/>
    <x v="5"/>
    <x v="6"/>
    <n v="38104"/>
    <n v="1921763"/>
    <x v="0"/>
    <d v="2024-12-28T00:00:00"/>
    <x v="14"/>
    <n v="1883659"/>
  </r>
  <r>
    <s v="ORD_0134 "/>
    <x v="7"/>
    <x v="6"/>
    <n v="37481"/>
    <n v="0"/>
    <x v="1"/>
    <d v="2024-06-12T00:00:00"/>
    <x v="11"/>
    <n v="0"/>
  </r>
  <r>
    <s v="ORD_0175 "/>
    <x v="4"/>
    <x v="2"/>
    <n v="55584"/>
    <n v="0"/>
    <x v="1"/>
    <d v="2024-10-21T00:00:00"/>
    <x v="6"/>
    <n v="0"/>
  </r>
  <r>
    <s v="ORD_0006 "/>
    <x v="2"/>
    <x v="6"/>
    <n v="63897"/>
    <n v="0"/>
    <x v="1"/>
    <d v="2024-01-11T00:00:00"/>
    <x v="13"/>
    <n v="0"/>
  </r>
  <r>
    <s v="ORD_0240 "/>
    <x v="2"/>
    <x v="3"/>
    <n v="128951"/>
    <n v="1536302"/>
    <x v="0"/>
    <d v="2024-05-10T00:00:00"/>
    <x v="8"/>
    <n v="1407351"/>
  </r>
  <r>
    <s v="ORD_0261 "/>
    <x v="2"/>
    <x v="0"/>
    <n v="45618"/>
    <n v="1896831"/>
    <x v="0"/>
    <d v="2024-10-31T00:00:00"/>
    <x v="21"/>
    <n v="1851213"/>
  </r>
  <r>
    <s v="ORD_0226 "/>
    <x v="8"/>
    <x v="0"/>
    <n v="66337"/>
    <n v="1400771"/>
    <x v="0"/>
    <d v="2024-07-11T00:00:00"/>
    <x v="16"/>
    <n v="1334434"/>
  </r>
  <r>
    <s v="ORD_0218 "/>
    <x v="9"/>
    <x v="6"/>
    <n v="6422"/>
    <n v="955691"/>
    <x v="0"/>
    <d v="2024-05-11T00:00:00"/>
    <x v="8"/>
    <n v="949269"/>
  </r>
  <r>
    <s v="ORD_0178 "/>
    <x v="1"/>
    <x v="6"/>
    <n v="98625"/>
    <n v="285833"/>
    <x v="0"/>
    <d v="2024-11-14T00:00:00"/>
    <x v="3"/>
    <n v="187208"/>
  </r>
  <r>
    <s v="ORD_0236 "/>
    <x v="3"/>
    <x v="4"/>
    <n v="71331"/>
    <n v="0"/>
    <x v="1"/>
    <d v="2024-03-11T00:00:00"/>
    <x v="12"/>
    <n v="0"/>
  </r>
  <r>
    <s v="ORD_0179 "/>
    <x v="4"/>
    <x v="7"/>
    <n v="18059"/>
    <n v="202208"/>
    <x v="0"/>
    <d v="2024-11-27T00:00:00"/>
    <x v="9"/>
    <n v="184149"/>
  </r>
  <r>
    <s v="ORD_0034 "/>
    <x v="2"/>
    <x v="6"/>
    <n v="93129"/>
    <n v="1391121"/>
    <x v="0"/>
    <d v="2024-10-18T00:00:00"/>
    <x v="2"/>
    <n v="1297992"/>
  </r>
  <r>
    <s v="ORD_0176 "/>
    <x v="9"/>
    <x v="7"/>
    <n v="138"/>
    <n v="282230"/>
    <x v="0"/>
    <d v="2024-10-22T00:00:00"/>
    <x v="6"/>
    <n v="282092"/>
  </r>
  <r>
    <s v="ORD_0082 "/>
    <x v="8"/>
    <x v="7"/>
    <n v="21161"/>
    <n v="1074093"/>
    <x v="0"/>
    <d v="2024-11-11T00:00:00"/>
    <x v="3"/>
    <n v="1052932"/>
  </r>
  <r>
    <s v="ORD_0041 "/>
    <x v="9"/>
    <x v="2"/>
    <n v="148057"/>
    <n v="0"/>
    <x v="1"/>
    <d v="2024-12-11T00:00:00"/>
    <x v="1"/>
    <n v="0"/>
  </r>
  <r>
    <s v="ORD_0198 "/>
    <x v="2"/>
    <x v="3"/>
    <n v="14847"/>
    <n v="1345680"/>
    <x v="0"/>
    <d v="2024-10-19T00:00:00"/>
    <x v="2"/>
    <n v="1330833"/>
  </r>
  <r>
    <s v="ORD_0120 "/>
    <x v="9"/>
    <x v="3"/>
    <n v="112085"/>
    <n v="1148538"/>
    <x v="0"/>
    <d v="2024-10-14T00:00:00"/>
    <x v="2"/>
    <n v="1036453"/>
  </r>
  <r>
    <s v="ORD_0101 "/>
    <x v="6"/>
    <x v="5"/>
    <n v="83883"/>
    <n v="0"/>
    <x v="1"/>
    <d v="2024-07-10T00:00:00"/>
    <x v="16"/>
    <n v="0"/>
  </r>
  <r>
    <s v="ORD_0017 "/>
    <x v="0"/>
    <x v="3"/>
    <n v="34825"/>
    <n v="1413655"/>
    <x v="0"/>
    <d v="2024-10-10T00:00:00"/>
    <x v="10"/>
    <n v="1378830"/>
  </r>
  <r>
    <s v="ORD_0026 "/>
    <x v="1"/>
    <x v="0"/>
    <n v="46713"/>
    <n v="0"/>
    <x v="1"/>
    <d v="2024-01-12T00:00:00"/>
    <x v="13"/>
    <n v="0"/>
  </r>
  <r>
    <s v="ORD_0171 "/>
    <x v="5"/>
    <x v="0"/>
    <n v="112664"/>
    <n v="0"/>
    <x v="1"/>
    <d v="2024-12-21T00:00:00"/>
    <x v="4"/>
    <n v="0"/>
  </r>
  <r>
    <s v="ORD_0092 "/>
    <x v="7"/>
    <x v="6"/>
    <n v="33832"/>
    <n v="0"/>
    <x v="1"/>
    <d v="2024-11-27T00:00:00"/>
    <x v="9"/>
    <n v="0"/>
  </r>
  <r>
    <s v="ORD_0133 "/>
    <x v="7"/>
    <x v="2"/>
    <n v="135"/>
    <n v="990274"/>
    <x v="0"/>
    <d v="2024-10-25T00:00:00"/>
    <x v="6"/>
    <n v="990139"/>
  </r>
  <r>
    <s v="ORD_0135 "/>
    <x v="9"/>
    <x v="1"/>
    <n v="8302"/>
    <n v="1770352"/>
    <x v="0"/>
    <d v="2024-12-13T00:00:00"/>
    <x v="1"/>
    <n v="1762050"/>
  </r>
  <r>
    <s v="ORD_0201 "/>
    <x v="6"/>
    <x v="1"/>
    <n v="5638"/>
    <n v="835303"/>
    <x v="0"/>
    <d v="2024-11-24T00:00:00"/>
    <x v="0"/>
    <n v="829665"/>
  </r>
  <r>
    <s v="ORD_0096 "/>
    <x v="8"/>
    <x v="7"/>
    <n v="1756"/>
    <n v="361285"/>
    <x v="0"/>
    <d v="2024-12-30T00:00:00"/>
    <x v="22"/>
    <n v="359529"/>
  </r>
  <r>
    <s v="ORD_0251 "/>
    <x v="1"/>
    <x v="3"/>
    <n v="30003"/>
    <n v="1446522"/>
    <x v="0"/>
    <d v="2024-12-13T00:00:00"/>
    <x v="1"/>
    <n v="1416519"/>
  </r>
  <r>
    <s v="ORD_0228 "/>
    <x v="7"/>
    <x v="6"/>
    <n v="72219"/>
    <n v="764972"/>
    <x v="0"/>
    <d v="2024-12-11T00:00:00"/>
    <x v="1"/>
    <n v="692753"/>
  </r>
  <r>
    <s v="ORD_0194 "/>
    <x v="7"/>
    <x v="6"/>
    <n v="99126"/>
    <n v="1883899"/>
    <x v="0"/>
    <d v="2024-12-14T00:00:00"/>
    <x v="1"/>
    <n v="1784773"/>
  </r>
  <r>
    <s v="ORD_0196 "/>
    <x v="2"/>
    <x v="3"/>
    <n v="132965"/>
    <n v="1285621"/>
    <x v="0"/>
    <d v="2024-11-23T00:00:00"/>
    <x v="0"/>
    <n v="1152656"/>
  </r>
  <r>
    <s v="ORD_0199 "/>
    <x v="0"/>
    <x v="2"/>
    <n v="108781"/>
    <n v="360818"/>
    <x v="0"/>
    <d v="2024-12-22T00:00:00"/>
    <x v="4"/>
    <n v="252037"/>
  </r>
  <r>
    <s v="ORD_0070 "/>
    <x v="8"/>
    <x v="7"/>
    <n v="23835"/>
    <n v="1718464"/>
    <x v="0"/>
    <d v="2024-11-30T00:00:00"/>
    <x v="9"/>
    <n v="1694629"/>
  </r>
  <r>
    <s v="ORD_0010 "/>
    <x v="1"/>
    <x v="3"/>
    <n v="9309"/>
    <n v="700434"/>
    <x v="0"/>
    <d v="2024-11-30T00:00:00"/>
    <x v="9"/>
    <n v="691125"/>
  </r>
  <r>
    <s v="ORD_0180 "/>
    <x v="3"/>
    <x v="6"/>
    <n v="21499"/>
    <n v="1809914"/>
    <x v="0"/>
    <d v="2024-06-12T00:00:00"/>
    <x v="11"/>
    <n v="1788415"/>
  </r>
  <r>
    <s v="ORD_0181 "/>
    <x v="9"/>
    <x v="6"/>
    <n v="46817"/>
    <n v="1280005"/>
    <x v="0"/>
    <d v="2024-12-25T00:00:00"/>
    <x v="14"/>
    <n v="1233188"/>
  </r>
  <r>
    <s v="ORD_0195 "/>
    <x v="3"/>
    <x v="0"/>
    <n v="127122"/>
    <n v="1969583"/>
    <x v="0"/>
    <d v="2024-12-12T00:00:00"/>
    <x v="1"/>
    <n v="1842461"/>
  </r>
  <r>
    <s v="ORD_0160 "/>
    <x v="0"/>
    <x v="2"/>
    <n v="115111"/>
    <n v="200078"/>
    <x v="0"/>
    <d v="2024-02-10T00:00:00"/>
    <x v="19"/>
    <n v="84967"/>
  </r>
  <r>
    <s v="ORD_0028 "/>
    <x v="5"/>
    <x v="3"/>
    <n v="139642"/>
    <n v="615462"/>
    <x v="0"/>
    <d v="2024-12-25T00:00:00"/>
    <x v="14"/>
    <n v="475820"/>
  </r>
  <r>
    <s v="ORD_0016 "/>
    <x v="7"/>
    <x v="5"/>
    <n v="35539"/>
    <n v="0"/>
    <x v="1"/>
    <d v="2024-12-16T00:00:00"/>
    <x v="4"/>
    <n v="0"/>
  </r>
  <r>
    <s v="ORD_0177 "/>
    <x v="3"/>
    <x v="6"/>
    <n v="33221"/>
    <n v="707984"/>
    <x v="0"/>
    <d v="2024-10-10T00:00:00"/>
    <x v="10"/>
    <n v="674763"/>
  </r>
  <r>
    <s v="ORD_0321 "/>
    <x v="0"/>
    <x v="2"/>
    <n v="66568"/>
    <n v="1309608"/>
    <x v="0"/>
    <d v="2024-10-20T00:00:00"/>
    <x v="2"/>
    <n v="1243040"/>
  </r>
  <r>
    <s v="ORD_0247 "/>
    <x v="8"/>
    <x v="1"/>
    <n v="607"/>
    <n v="0"/>
    <x v="1"/>
    <d v="2024-11-14T00:00:00"/>
    <x v="3"/>
    <n v="0"/>
  </r>
  <r>
    <s v="ORD_0324 "/>
    <x v="3"/>
    <x v="6"/>
    <n v="83236"/>
    <n v="1995287"/>
    <x v="0"/>
    <d v="2024-11-19T00:00:00"/>
    <x v="0"/>
    <n v="1912051"/>
  </r>
  <r>
    <s v="ORD_0089 "/>
    <x v="5"/>
    <x v="0"/>
    <n v="105276"/>
    <n v="1854771"/>
    <x v="0"/>
    <d v="2024-11-10T00:00:00"/>
    <x v="18"/>
    <n v="1749495"/>
  </r>
  <r>
    <s v="ORD_0105 "/>
    <x v="0"/>
    <x v="0"/>
    <n v="115559"/>
    <n v="1914142"/>
    <x v="0"/>
    <d v="2024-05-12T00:00:00"/>
    <x v="8"/>
    <n v="1798583"/>
  </r>
  <r>
    <s v="ORD_0145 "/>
    <x v="5"/>
    <x v="0"/>
    <n v="10717"/>
    <n v="1782612"/>
    <x v="0"/>
    <d v="2024-12-14T00:00:00"/>
    <x v="1"/>
    <n v="1771895"/>
  </r>
  <r>
    <s v="ORD_0230 "/>
    <x v="7"/>
    <x v="7"/>
    <n v="957"/>
    <n v="1552603"/>
    <x v="0"/>
    <d v="2024-08-10T00:00:00"/>
    <x v="23"/>
    <n v="1551646"/>
  </r>
  <r>
    <s v="ORD_0074 "/>
    <x v="1"/>
    <x v="3"/>
    <n v="148131"/>
    <n v="1906149"/>
    <x v="0"/>
    <d v="2024-04-12T00:00:00"/>
    <x v="5"/>
    <n v="1758018"/>
  </r>
  <r>
    <s v="ORD_0084 "/>
    <x v="1"/>
    <x v="3"/>
    <n v="50833"/>
    <n v="1484034"/>
    <x v="0"/>
    <d v="2024-10-19T00:00:00"/>
    <x v="2"/>
    <n v="1433201"/>
  </r>
  <r>
    <s v="ORD_0085 "/>
    <x v="4"/>
    <x v="5"/>
    <n v="91392"/>
    <n v="0"/>
    <x v="1"/>
    <d v="2024-12-25T00:00:00"/>
    <x v="14"/>
    <n v="0"/>
  </r>
  <r>
    <s v="ORD_0023 "/>
    <x v="1"/>
    <x v="7"/>
    <n v="18307"/>
    <n v="588406"/>
    <x v="0"/>
    <d v="2024-10-25T00:00:00"/>
    <x v="6"/>
    <n v="570099"/>
  </r>
  <r>
    <s v="ORD_0329 "/>
    <x v="7"/>
    <x v="6"/>
    <n v="97091"/>
    <n v="960082"/>
    <x v="0"/>
    <d v="2024-12-30T00:00:00"/>
    <x v="22"/>
    <n v="862991"/>
  </r>
  <r>
    <s v="ORD_0310 "/>
    <x v="1"/>
    <x v="7"/>
    <n v="9503"/>
    <n v="1935484"/>
    <x v="0"/>
    <d v="2024-07-12T00:00:00"/>
    <x v="16"/>
    <n v="1925981"/>
  </r>
  <r>
    <s v="ORD_0183 "/>
    <x v="6"/>
    <x v="3"/>
    <n v="130105"/>
    <n v="1440255"/>
    <x v="0"/>
    <d v="2024-11-24T00:00:00"/>
    <x v="0"/>
    <n v="1310150"/>
  </r>
  <r>
    <s v="ORD_0093 "/>
    <x v="1"/>
    <x v="6"/>
    <n v="89897"/>
    <n v="1738265"/>
    <x v="0"/>
    <d v="2024-10-23T00:00:00"/>
    <x v="6"/>
    <n v="1648368"/>
  </r>
  <r>
    <s v="ORD_0298 "/>
    <x v="7"/>
    <x v="5"/>
    <n v="40768"/>
    <n v="1031882"/>
    <x v="0"/>
    <d v="2024-05-11T00:00:00"/>
    <x v="8"/>
    <n v="991114"/>
  </r>
  <r>
    <s v="ORD_0315 "/>
    <x v="1"/>
    <x v="5"/>
    <n v="36811"/>
    <n v="0"/>
    <x v="1"/>
    <d v="2024-11-11T00:00:00"/>
    <x v="3"/>
    <n v="0"/>
  </r>
  <r>
    <s v="ORD_0318 "/>
    <x v="0"/>
    <x v="6"/>
    <n v="91317"/>
    <n v="1489257"/>
    <x v="0"/>
    <d v="2024-10-12T00:00:00"/>
    <x v="10"/>
    <n v="1397940"/>
  </r>
  <r>
    <s v="ORD_0322 "/>
    <x v="8"/>
    <x v="3"/>
    <n v="139536"/>
    <n v="0"/>
    <x v="1"/>
    <d v="2024-10-21T00:00:00"/>
    <x v="6"/>
    <n v="0"/>
  </r>
  <r>
    <s v="ORD_0235 "/>
    <x v="6"/>
    <x v="4"/>
    <n v="170178"/>
    <n v="1345426"/>
    <x v="0"/>
    <d v="2024-11-12T00:00:00"/>
    <x v="3"/>
    <n v="1175248"/>
  </r>
  <r>
    <s v="ORD_0317 "/>
    <x v="9"/>
    <x v="4"/>
    <n v="191182"/>
    <n v="1814327"/>
    <x v="0"/>
    <d v="2024-12-27T00:00:00"/>
    <x v="14"/>
    <n v="1623145"/>
  </r>
  <r>
    <s v="ORD_0213 "/>
    <x v="1"/>
    <x v="1"/>
    <n v="26439"/>
    <n v="538019"/>
    <x v="0"/>
    <d v="2024-10-20T00:00:00"/>
    <x v="2"/>
    <n v="511580"/>
  </r>
  <r>
    <s v="ORD_0047 "/>
    <x v="4"/>
    <x v="1"/>
    <n v="8507"/>
    <n v="1751370"/>
    <x v="0"/>
    <d v="2024-01-12T00:00:00"/>
    <x v="13"/>
    <n v="1742863"/>
  </r>
  <r>
    <s v="ORD_0174 "/>
    <x v="0"/>
    <x v="0"/>
    <n v="100123"/>
    <n v="1928024"/>
    <x v="0"/>
    <d v="2024-02-12T00:00:00"/>
    <x v="20"/>
    <n v="1827901"/>
  </r>
  <r>
    <s v="ORD_0311 "/>
    <x v="3"/>
    <x v="1"/>
    <n v="28613"/>
    <n v="1649653"/>
    <x v="0"/>
    <d v="2024-01-10T00:00:00"/>
    <x v="13"/>
    <n v="1621040"/>
  </r>
  <r>
    <s v="ORD_0250 "/>
    <x v="8"/>
    <x v="6"/>
    <n v="30651"/>
    <n v="1716258"/>
    <x v="0"/>
    <d v="2024-08-10T00:00:00"/>
    <x v="23"/>
    <n v="1685607"/>
  </r>
  <r>
    <s v="ORD_0234 "/>
    <x v="7"/>
    <x v="0"/>
    <n v="99184"/>
    <n v="226994"/>
    <x v="0"/>
    <d v="2024-12-20T00:00:00"/>
    <x v="4"/>
    <n v="127810"/>
  </r>
  <r>
    <s v="ORD_0281 "/>
    <x v="3"/>
    <x v="2"/>
    <n v="194978"/>
    <n v="1468739"/>
    <x v="0"/>
    <d v="2024-10-16T00:00:00"/>
    <x v="2"/>
    <n v="1273761"/>
  </r>
  <r>
    <s v="ORD_0068 "/>
    <x v="6"/>
    <x v="3"/>
    <n v="87898"/>
    <n v="780723"/>
    <x v="0"/>
    <d v="2024-11-28T00:00:00"/>
    <x v="9"/>
    <n v="692825"/>
  </r>
  <r>
    <s v="ORD_0018 "/>
    <x v="1"/>
    <x v="4"/>
    <n v="108143"/>
    <n v="1573478"/>
    <x v="0"/>
    <d v="2024-11-22T00:00:00"/>
    <x v="0"/>
    <n v="1465335"/>
  </r>
  <r>
    <s v="ORD_0008 "/>
    <x v="1"/>
    <x v="0"/>
    <n v="107832"/>
    <n v="1895693"/>
    <x v="0"/>
    <d v="2024-12-30T00:00:00"/>
    <x v="22"/>
    <n v="1787861"/>
  </r>
  <r>
    <s v="ORD_0190 "/>
    <x v="0"/>
    <x v="1"/>
    <n v="17287"/>
    <n v="0"/>
    <x v="1"/>
    <d v="2024-12-30T00:00:00"/>
    <x v="22"/>
    <n v="0"/>
  </r>
  <r>
    <s v="ORD_0149 "/>
    <x v="1"/>
    <x v="2"/>
    <n v="90885"/>
    <n v="1598311"/>
    <x v="0"/>
    <d v="2024-11-19T00:00:00"/>
    <x v="0"/>
    <n v="1507426"/>
  </r>
  <r>
    <s v="ORD_0130 "/>
    <x v="7"/>
    <x v="2"/>
    <n v="113113"/>
    <n v="1083808"/>
    <x v="0"/>
    <d v="2024-06-11T00:00:00"/>
    <x v="11"/>
    <n v="970695"/>
  </r>
  <r>
    <s v="ORD_0001 "/>
    <x v="9"/>
    <x v="2"/>
    <n v="95406"/>
    <n v="925695"/>
    <x v="0"/>
    <d v="2024-11-12T00:00:00"/>
    <x v="3"/>
    <n v="830289"/>
  </r>
  <r>
    <s v="ORD_0146 "/>
    <x v="7"/>
    <x v="0"/>
    <n v="106923"/>
    <n v="901076"/>
    <x v="0"/>
    <d v="2024-11-14T00:00:00"/>
    <x v="3"/>
    <n v="794153"/>
  </r>
  <r>
    <s v="ORD_0335 "/>
    <x v="3"/>
    <x v="2"/>
    <n v="82337"/>
    <n v="0"/>
    <x v="1"/>
    <d v="2024-07-10T00:00:00"/>
    <x v="16"/>
    <n v="0"/>
  </r>
  <r>
    <s v="ORD_0316 "/>
    <x v="3"/>
    <x v="0"/>
    <n v="116281"/>
    <n v="833056"/>
    <x v="0"/>
    <d v="2024-12-30T00:00:00"/>
    <x v="22"/>
    <n v="716775"/>
  </r>
  <r>
    <s v="ORD_0033 "/>
    <x v="4"/>
    <x v="4"/>
    <n v="51398"/>
    <n v="0"/>
    <x v="1"/>
    <d v="2024-12-14T00:00:00"/>
    <x v="1"/>
    <n v="0"/>
  </r>
  <r>
    <s v="ORD_0282 "/>
    <x v="3"/>
    <x v="7"/>
    <n v="5715"/>
    <n v="0"/>
    <x v="1"/>
    <d v="2024-03-12T00:00:00"/>
    <x v="12"/>
    <n v="0"/>
  </r>
  <r>
    <s v="ORD_0220 "/>
    <x v="2"/>
    <x v="3"/>
    <n v="77594"/>
    <n v="0"/>
    <x v="1"/>
    <d v="2024-11-14T00:00:00"/>
    <x v="3"/>
    <n v="0"/>
  </r>
  <r>
    <s v="ORD_0292 "/>
    <x v="2"/>
    <x v="7"/>
    <n v="8237"/>
    <n v="755780"/>
    <x v="0"/>
    <d v="2024-12-17T00:00:00"/>
    <x v="4"/>
    <n v="747543"/>
  </r>
  <r>
    <s v="ORD_0287 "/>
    <x v="7"/>
    <x v="5"/>
    <n v="32847"/>
    <n v="841383"/>
    <x v="0"/>
    <d v="2024-11-19T00:00:00"/>
    <x v="0"/>
    <n v="808536"/>
  </r>
  <r>
    <s v="ORD_0325 "/>
    <x v="4"/>
    <x v="3"/>
    <n v="40822"/>
    <n v="1338799"/>
    <x v="0"/>
    <d v="2024-01-11T00:00:00"/>
    <x v="13"/>
    <n v="1297977"/>
  </r>
  <r>
    <s v="ORD_0113 "/>
    <x v="6"/>
    <x v="4"/>
    <n v="74309"/>
    <n v="1814823"/>
    <x v="0"/>
    <d v="2024-01-11T00:00:00"/>
    <x v="13"/>
    <n v="1740514"/>
  </r>
  <r>
    <s v="ORD_0172 "/>
    <x v="9"/>
    <x v="0"/>
    <n v="53135"/>
    <n v="1358835"/>
    <x v="0"/>
    <d v="2024-04-12T00:00:00"/>
    <x v="5"/>
    <n v="1305700"/>
  </r>
  <r>
    <s v="ORD_0049 "/>
    <x v="0"/>
    <x v="7"/>
    <n v="6021"/>
    <n v="0"/>
    <x v="1"/>
    <d v="2024-10-10T00:00:00"/>
    <x v="10"/>
    <n v="0"/>
  </r>
  <r>
    <s v="ORD_0319 "/>
    <x v="5"/>
    <x v="4"/>
    <n v="13185"/>
    <n v="1467079"/>
    <x v="0"/>
    <d v="2024-12-13T00:00:00"/>
    <x v="1"/>
    <n v="1453894"/>
  </r>
  <r>
    <s v="ORD_0128 "/>
    <x v="0"/>
    <x v="1"/>
    <n v="16276"/>
    <n v="0"/>
    <x v="1"/>
    <d v="2024-02-12T00:00:00"/>
    <x v="20"/>
    <n v="0"/>
  </r>
  <r>
    <s v="ORD_0005 "/>
    <x v="9"/>
    <x v="7"/>
    <n v="7391"/>
    <n v="1742930"/>
    <x v="0"/>
    <d v="2024-11-22T00:00:00"/>
    <x v="0"/>
    <n v="1735539"/>
  </r>
  <r>
    <s v="ORD_0330 "/>
    <x v="5"/>
    <x v="6"/>
    <n v="20934"/>
    <n v="687972"/>
    <x v="0"/>
    <d v="2024-03-12T00:00:00"/>
    <x v="12"/>
    <n v="667038"/>
  </r>
  <r>
    <s v="ORD_0266 "/>
    <x v="2"/>
    <x v="5"/>
    <n v="99611"/>
    <n v="1439817"/>
    <x v="0"/>
    <d v="2024-11-16T00:00:00"/>
    <x v="3"/>
    <n v="1340206"/>
  </r>
  <r>
    <s v="ORD_0242 "/>
    <x v="1"/>
    <x v="3"/>
    <n v="38307"/>
    <n v="1767526"/>
    <x v="0"/>
    <d v="2024-10-21T00:00:00"/>
    <x v="6"/>
    <n v="1729219"/>
  </r>
  <r>
    <s v="ORD_0339 "/>
    <x v="2"/>
    <x v="6"/>
    <n v="71417"/>
    <n v="1794644"/>
    <x v="0"/>
    <d v="2024-12-11T00:00:00"/>
    <x v="1"/>
    <n v="1723227"/>
  </r>
  <r>
    <s v="ORD_0241 "/>
    <x v="4"/>
    <x v="2"/>
    <n v="60339"/>
    <n v="853593"/>
    <x v="0"/>
    <d v="2024-10-28T00:00:00"/>
    <x v="21"/>
    <n v="793254"/>
  </r>
  <r>
    <s v="ORD_0140 "/>
    <x v="5"/>
    <x v="3"/>
    <n v="3525"/>
    <n v="1109008"/>
    <x v="0"/>
    <d v="2024-12-10T00:00:00"/>
    <x v="1"/>
    <n v="1105483"/>
  </r>
  <r>
    <s v="ORD_0336 "/>
    <x v="4"/>
    <x v="1"/>
    <n v="2449"/>
    <n v="0"/>
    <x v="1"/>
    <d v="2024-11-29T00:00:00"/>
    <x v="9"/>
    <n v="0"/>
  </r>
  <r>
    <s v="ORD_0032 "/>
    <x v="2"/>
    <x v="5"/>
    <n v="81352"/>
    <n v="1075762"/>
    <x v="0"/>
    <d v="2024-12-27T00:00:00"/>
    <x v="14"/>
    <n v="994410"/>
  </r>
  <r>
    <s v="ORD_0050 "/>
    <x v="9"/>
    <x v="5"/>
    <n v="6306"/>
    <n v="517047"/>
    <x v="0"/>
    <d v="2024-11-24T00:00:00"/>
    <x v="0"/>
    <n v="510741"/>
  </r>
  <r>
    <s v="ORD_0214 "/>
    <x v="4"/>
    <x v="3"/>
    <n v="107758"/>
    <n v="264042"/>
    <x v="0"/>
    <d v="2024-01-12T00:00:00"/>
    <x v="13"/>
    <n v="156284"/>
  </r>
  <r>
    <s v="ORD_0269 "/>
    <x v="8"/>
    <x v="7"/>
    <n v="9237"/>
    <n v="614383"/>
    <x v="0"/>
    <d v="2024-10-24T00:00:00"/>
    <x v="6"/>
    <n v="605146"/>
  </r>
  <r>
    <s v="ORD_0152 "/>
    <x v="4"/>
    <x v="7"/>
    <n v="9637"/>
    <n v="1088787"/>
    <x v="0"/>
    <d v="2024-10-12T00:00:00"/>
    <x v="10"/>
    <n v="1079150"/>
  </r>
  <r>
    <s v="ORD_0088 "/>
    <x v="3"/>
    <x v="0"/>
    <n v="136813"/>
    <n v="223484"/>
    <x v="0"/>
    <d v="2024-11-15T00:00:00"/>
    <x v="3"/>
    <n v="86671"/>
  </r>
  <r>
    <s v="ORD_0132 "/>
    <x v="4"/>
    <x v="1"/>
    <n v="18995"/>
    <n v="1503984"/>
    <x v="0"/>
    <d v="2024-11-13T00:00:00"/>
    <x v="3"/>
    <n v="1484989"/>
  </r>
  <r>
    <s v="ORD_0333 "/>
    <x v="9"/>
    <x v="1"/>
    <n v="13113"/>
    <n v="0"/>
    <x v="1"/>
    <d v="2024-12-13T00:00:00"/>
    <x v="1"/>
    <n v="0"/>
  </r>
  <r>
    <s v="ORD_0125 "/>
    <x v="2"/>
    <x v="6"/>
    <n v="79249"/>
    <n v="998241"/>
    <x v="0"/>
    <d v="2024-11-10T00:00:00"/>
    <x v="18"/>
    <n v="918992"/>
  </r>
  <r>
    <s v="ORD_0030 "/>
    <x v="5"/>
    <x v="2"/>
    <n v="115683"/>
    <n v="702783"/>
    <x v="0"/>
    <d v="2024-12-12T00:00:00"/>
    <x v="1"/>
    <n v="587100"/>
  </r>
  <r>
    <s v="ORD_0255 "/>
    <x v="3"/>
    <x v="3"/>
    <n v="125394"/>
    <n v="981862"/>
    <x v="0"/>
    <d v="2024-05-12T00:00:00"/>
    <x v="8"/>
    <n v="856468"/>
  </r>
  <r>
    <s v="ORD_0267 "/>
    <x v="4"/>
    <x v="0"/>
    <n v="5879"/>
    <n v="1561327"/>
    <x v="0"/>
    <d v="2024-12-18T00:00:00"/>
    <x v="4"/>
    <n v="1555448"/>
  </r>
  <r>
    <s v="ORD_0154 "/>
    <x v="7"/>
    <x v="6"/>
    <n v="89989"/>
    <n v="1386700"/>
    <x v="0"/>
    <d v="2024-11-23T00:00:00"/>
    <x v="0"/>
    <n v="1296711"/>
  </r>
  <r>
    <s v="ORD_0073 "/>
    <x v="5"/>
    <x v="0"/>
    <n v="100778"/>
    <n v="1671818"/>
    <x v="0"/>
    <d v="2024-06-10T00:00:00"/>
    <x v="11"/>
    <n v="1571040"/>
  </r>
  <r>
    <s v="ORD_0256 "/>
    <x v="9"/>
    <x v="2"/>
    <n v="170531"/>
    <n v="1618216"/>
    <x v="0"/>
    <d v="2024-12-25T00:00:00"/>
    <x v="14"/>
    <n v="1447685"/>
  </r>
  <r>
    <s v="ORD_0142 "/>
    <x v="3"/>
    <x v="6"/>
    <n v="74017"/>
    <n v="1367827"/>
    <x v="0"/>
    <d v="2024-10-11T00:00:00"/>
    <x v="10"/>
    <n v="1293810"/>
  </r>
  <r>
    <s v="ORD_0161 "/>
    <x v="6"/>
    <x v="5"/>
    <n v="37666"/>
    <n v="420333"/>
    <x v="0"/>
    <d v="2024-03-12T00:00:00"/>
    <x v="12"/>
    <n v="382667"/>
  </r>
  <r>
    <s v="ORD_0313 "/>
    <x v="0"/>
    <x v="5"/>
    <n v="39434"/>
    <n v="1337279"/>
    <x v="0"/>
    <d v="2024-01-10T00:00:00"/>
    <x v="13"/>
    <n v="1297845"/>
  </r>
  <r>
    <s v="ORD_0004 "/>
    <x v="7"/>
    <x v="3"/>
    <n v="43203"/>
    <n v="0"/>
    <x v="1"/>
    <d v="2024-06-10T00:00:00"/>
    <x v="11"/>
    <n v="0"/>
  </r>
  <r>
    <s v="ORD_0013 "/>
    <x v="9"/>
    <x v="6"/>
    <n v="23945"/>
    <n v="800210"/>
    <x v="0"/>
    <d v="2024-01-10T00:00:00"/>
    <x v="13"/>
    <n v="776265"/>
  </r>
  <r>
    <s v="ORD_0097 "/>
    <x v="7"/>
    <x v="2"/>
    <n v="58421"/>
    <n v="306199"/>
    <x v="0"/>
    <d v="2024-11-26T00:00:00"/>
    <x v="9"/>
    <n v="247778"/>
  </r>
  <r>
    <s v="ORD_0248 "/>
    <x v="7"/>
    <x v="2"/>
    <n v="101772"/>
    <n v="1501491"/>
    <x v="0"/>
    <d v="2024-10-10T00:00:00"/>
    <x v="10"/>
    <n v="1399719"/>
  </r>
  <r>
    <s v="ORD_0184 "/>
    <x v="3"/>
    <x v="1"/>
    <n v="7769"/>
    <n v="964627"/>
    <x v="0"/>
    <d v="2024-08-12T00:00:00"/>
    <x v="17"/>
    <n v="956858"/>
  </r>
  <r>
    <s v="ORD_0262 "/>
    <x v="8"/>
    <x v="4"/>
    <n v="84302"/>
    <n v="764766"/>
    <x v="0"/>
    <d v="2024-12-20T00:00:00"/>
    <x v="4"/>
    <n v="680464"/>
  </r>
  <r>
    <s v="ORD_0099 "/>
    <x v="8"/>
    <x v="0"/>
    <n v="11616"/>
    <n v="1395791"/>
    <x v="0"/>
    <d v="2024-11-10T00:00:00"/>
    <x v="18"/>
    <n v="1384175"/>
  </r>
  <r>
    <s v="ORD_0153 "/>
    <x v="2"/>
    <x v="2"/>
    <n v="136299"/>
    <n v="1549146"/>
    <x v="0"/>
    <d v="2024-11-13T00:00:00"/>
    <x v="3"/>
    <n v="1412847"/>
  </r>
  <r>
    <s v="ORD_0283 "/>
    <x v="2"/>
    <x v="6"/>
    <n v="50061"/>
    <n v="213241"/>
    <x v="0"/>
    <d v="2024-11-12T00:00:00"/>
    <x v="3"/>
    <n v="163180"/>
  </r>
  <r>
    <s v="ORD_0024 "/>
    <x v="2"/>
    <x v="2"/>
    <n v="125641"/>
    <n v="1666819"/>
    <x v="0"/>
    <d v="2024-07-11T00:00:00"/>
    <x v="16"/>
    <n v="1541178"/>
  </r>
  <r>
    <s v="ORD_0043 "/>
    <x v="0"/>
    <x v="1"/>
    <n v="16688"/>
    <n v="0"/>
    <x v="1"/>
    <d v="2024-12-22T00:00:00"/>
    <x v="4"/>
    <n v="0"/>
  </r>
  <r>
    <s v="ORD_0263 "/>
    <x v="4"/>
    <x v="5"/>
    <n v="36267"/>
    <n v="1620876"/>
    <x v="0"/>
    <d v="2024-12-18T00:00:00"/>
    <x v="4"/>
    <n v="1584609"/>
  </r>
  <r>
    <s v="ORD_0182 "/>
    <x v="0"/>
    <x v="6"/>
    <n v="64001"/>
    <n v="768516"/>
    <x v="0"/>
    <d v="2024-09-10T00:00:00"/>
    <x v="7"/>
    <n v="704515"/>
  </r>
  <r>
    <s v="ORD_0186 "/>
    <x v="3"/>
    <x v="7"/>
    <n v="10759"/>
    <n v="1096330"/>
    <x v="0"/>
    <d v="2024-10-31T00:00:00"/>
    <x v="21"/>
    <n v="1085571"/>
  </r>
  <r>
    <s v="ORD_0046 "/>
    <x v="0"/>
    <x v="0"/>
    <n v="137818"/>
    <n v="1370470"/>
    <x v="0"/>
    <d v="2024-11-10T00:00:00"/>
    <x v="18"/>
    <n v="1232652"/>
  </r>
  <r>
    <s v="ORD_0036 "/>
    <x v="9"/>
    <x v="2"/>
    <n v="92475"/>
    <n v="1088148"/>
    <x v="0"/>
    <d v="2024-12-23T00:00:00"/>
    <x v="14"/>
    <n v="995673"/>
  </r>
  <r>
    <s v="ORD_0277 "/>
    <x v="0"/>
    <x v="0"/>
    <n v="142022"/>
    <n v="0"/>
    <x v="1"/>
    <d v="2024-11-10T00:00:00"/>
    <x v="18"/>
    <n v="0"/>
  </r>
  <r>
    <s v="ORD_0127 "/>
    <x v="8"/>
    <x v="5"/>
    <n v="34063"/>
    <n v="1312051"/>
    <x v="0"/>
    <d v="2024-06-11T00:00:00"/>
    <x v="11"/>
    <n v="1277988"/>
  </r>
  <r>
    <s v="ORD_0239 "/>
    <x v="4"/>
    <x v="0"/>
    <n v="36635"/>
    <n v="0"/>
    <x v="1"/>
    <d v="2024-12-29T00:00:00"/>
    <x v="14"/>
    <n v="0"/>
  </r>
  <r>
    <s v="ORD_0227 "/>
    <x v="7"/>
    <x v="1"/>
    <n v="16828"/>
    <n v="888387"/>
    <x v="0"/>
    <d v="2024-07-11T00:00:00"/>
    <x v="16"/>
    <n v="871559"/>
  </r>
  <r>
    <s v="ORD_0103 "/>
    <x v="6"/>
    <x v="0"/>
    <n v="47307"/>
    <n v="0"/>
    <x v="1"/>
    <d v="2024-11-19T00:00:00"/>
    <x v="0"/>
    <n v="0"/>
  </r>
  <r>
    <s v="ORD_0243 "/>
    <x v="2"/>
    <x v="0"/>
    <n v="117976"/>
    <n v="1498089"/>
    <x v="0"/>
    <d v="2024-12-15T00:00:00"/>
    <x v="1"/>
    <n v="1380113"/>
  </r>
  <r>
    <s v="ORD_0119 "/>
    <x v="9"/>
    <x v="7"/>
    <n v="12346"/>
    <n v="639939"/>
    <x v="0"/>
    <d v="2024-11-28T00:00:00"/>
    <x v="9"/>
    <n v="627593"/>
  </r>
  <r>
    <s v="ORD_0079 "/>
    <x v="8"/>
    <x v="3"/>
    <n v="41116"/>
    <n v="1000737"/>
    <x v="0"/>
    <d v="2024-12-21T00:00:00"/>
    <x v="4"/>
    <n v="959621"/>
  </r>
  <r>
    <s v="ORD_0078 "/>
    <x v="7"/>
    <x v="5"/>
    <n v="55402"/>
    <n v="0"/>
    <x v="1"/>
    <d v="2024-12-11T00:00:00"/>
    <x v="1"/>
    <n v="0"/>
  </r>
  <r>
    <s v="ORD_0225 "/>
    <x v="2"/>
    <x v="3"/>
    <n v="107008"/>
    <n v="235642"/>
    <x v="0"/>
    <d v="2024-06-11T00:00:00"/>
    <x v="11"/>
    <n v="128634"/>
  </r>
  <r>
    <s v="ORD_0291 "/>
    <x v="2"/>
    <x v="5"/>
    <n v="2965"/>
    <n v="547359"/>
    <x v="0"/>
    <d v="2024-09-10T00:00:00"/>
    <x v="7"/>
    <n v="544394"/>
  </r>
  <r>
    <s v="ORD_0025 "/>
    <x v="9"/>
    <x v="7"/>
    <n v="16944"/>
    <n v="0"/>
    <x v="1"/>
    <d v="2024-11-23T00:00:00"/>
    <x v="0"/>
    <n v="0"/>
  </r>
  <r>
    <s v="ORD_0232 "/>
    <x v="3"/>
    <x v="3"/>
    <n v="9671"/>
    <n v="1282430"/>
    <x v="0"/>
    <d v="2024-11-19T00:00:00"/>
    <x v="0"/>
    <n v="1272759"/>
  </r>
  <r>
    <s v="ORD_0244 "/>
    <x v="9"/>
    <x v="7"/>
    <n v="8018"/>
    <n v="690093"/>
    <x v="0"/>
    <d v="2024-04-12T00:00:00"/>
    <x v="5"/>
    <n v="682075"/>
  </r>
  <r>
    <s v="ORD_0102 "/>
    <x v="0"/>
    <x v="5"/>
    <n v="77101"/>
    <n v="221397"/>
    <x v="0"/>
    <d v="2024-12-17T00:00:00"/>
    <x v="4"/>
    <n v="144296"/>
  </r>
  <r>
    <s v="ORD_0305 "/>
    <x v="0"/>
    <x v="4"/>
    <n v="178017"/>
    <n v="0"/>
    <x v="1"/>
    <d v="2024-12-29T00:00:00"/>
    <x v="14"/>
    <n v="0"/>
  </r>
  <r>
    <s v="ORD_0257 "/>
    <x v="8"/>
    <x v="7"/>
    <n v="8971"/>
    <n v="1929340"/>
    <x v="0"/>
    <d v="2024-03-12T00:00:00"/>
    <x v="12"/>
    <n v="1920369"/>
  </r>
  <r>
    <s v="ORD_0042 "/>
    <x v="0"/>
    <x v="7"/>
    <n v="13871"/>
    <n v="490688"/>
    <x v="0"/>
    <d v="2024-04-10T00:00:00"/>
    <x v="5"/>
    <n v="476817"/>
  </r>
  <r>
    <s v="ORD_0126 "/>
    <x v="8"/>
    <x v="6"/>
    <n v="63761"/>
    <n v="1853012"/>
    <x v="0"/>
    <d v="2024-11-30T00:00:00"/>
    <x v="9"/>
    <n v="1789251"/>
  </r>
  <r>
    <s v="ORD_0306 "/>
    <x v="8"/>
    <x v="0"/>
    <n v="132653"/>
    <n v="1471221"/>
    <x v="0"/>
    <d v="2024-02-11T00:00:00"/>
    <x v="19"/>
    <n v="1338568"/>
  </r>
  <r>
    <s v="ORD_0278 "/>
    <x v="1"/>
    <x v="6"/>
    <n v="51192"/>
    <n v="0"/>
    <x v="1"/>
    <d v="2024-10-30T00:00:00"/>
    <x v="21"/>
    <n v="0"/>
  </r>
  <r>
    <s v="ORD_0058 "/>
    <x v="3"/>
    <x v="0"/>
    <n v="50548"/>
    <n v="0"/>
    <x v="1"/>
    <d v="2024-03-11T00:00:00"/>
    <x v="12"/>
    <n v="0"/>
  </r>
  <r>
    <s v="ORD_0098 "/>
    <x v="2"/>
    <x v="0"/>
    <n v="64674"/>
    <n v="1498918"/>
    <x v="0"/>
    <d v="2024-11-14T00:00:00"/>
    <x v="3"/>
    <n v="1434244"/>
  </r>
  <r>
    <s v="ORD_0245 "/>
    <x v="0"/>
    <x v="6"/>
    <n v="60778"/>
    <n v="343359"/>
    <x v="0"/>
    <d v="2024-12-21T00:00:00"/>
    <x v="4"/>
    <n v="282581"/>
  </r>
  <r>
    <s v="ORD_0211 "/>
    <x v="0"/>
    <x v="7"/>
    <n v="11604"/>
    <n v="0"/>
    <x v="1"/>
    <d v="2024-05-12T00:00:00"/>
    <x v="8"/>
    <n v="0"/>
  </r>
  <r>
    <s v="ORD_0312 "/>
    <x v="0"/>
    <x v="1"/>
    <n v="13017"/>
    <n v="1326716"/>
    <x v="0"/>
    <d v="2024-10-11T00:00:00"/>
    <x v="10"/>
    <n v="1313699"/>
  </r>
  <r>
    <s v="ORD_0217 "/>
    <x v="3"/>
    <x v="7"/>
    <n v="12734"/>
    <n v="534079"/>
    <x v="0"/>
    <d v="2024-03-11T00:00:00"/>
    <x v="12"/>
    <n v="521345"/>
  </r>
  <r>
    <s v="ORD_0144 "/>
    <x v="2"/>
    <x v="3"/>
    <n v="137446"/>
    <n v="795519"/>
    <x v="0"/>
    <d v="2024-11-25T00:00:00"/>
    <x v="9"/>
    <n v="658073"/>
  </r>
  <r>
    <s v="ORD_0191 "/>
    <x v="3"/>
    <x v="5"/>
    <n v="52637"/>
    <n v="1362343"/>
    <x v="0"/>
    <d v="2024-11-26T00:00:00"/>
    <x v="9"/>
    <n v="1309706"/>
  </r>
  <r>
    <s v="ORD_0304 "/>
    <x v="3"/>
    <x v="3"/>
    <n v="83262"/>
    <n v="933960"/>
    <x v="0"/>
    <d v="2024-04-12T00:00:00"/>
    <x v="5"/>
    <n v="850698"/>
  </r>
  <r>
    <s v="ORD_0307 "/>
    <x v="7"/>
    <x v="2"/>
    <n v="193967"/>
    <n v="0"/>
    <x v="1"/>
    <d v="2024-11-12T00:00:00"/>
    <x v="3"/>
    <n v="0"/>
  </r>
  <r>
    <s v="ORD_0168 "/>
    <x v="8"/>
    <x v="7"/>
    <n v="24235"/>
    <n v="632774"/>
    <x v="0"/>
    <d v="2024-12-31T00:00:00"/>
    <x v="22"/>
    <n v="608539"/>
  </r>
  <r>
    <s v="ORD_0258 "/>
    <x v="3"/>
    <x v="3"/>
    <n v="112461"/>
    <n v="0"/>
    <x v="1"/>
    <d v="2024-10-14T00:00:00"/>
    <x v="2"/>
    <n v="0"/>
  </r>
  <r>
    <s v="ORD_0314 "/>
    <x v="4"/>
    <x v="0"/>
    <n v="98813"/>
    <n v="487195"/>
    <x v="0"/>
    <d v="2024-11-20T00:00:00"/>
    <x v="0"/>
    <n v="388382"/>
  </r>
  <r>
    <s v="ORD_0166 "/>
    <x v="1"/>
    <x v="1"/>
    <n v="24371"/>
    <n v="627308"/>
    <x v="0"/>
    <d v="2024-11-14T00:00:00"/>
    <x v="3"/>
    <n v="602937"/>
  </r>
  <r>
    <s v="ORD_0249 "/>
    <x v="9"/>
    <x v="3"/>
    <n v="141433"/>
    <n v="0"/>
    <x v="1"/>
    <d v="2024-10-10T00:00:00"/>
    <x v="10"/>
    <n v="0"/>
  </r>
  <r>
    <s v="ORD_0205 "/>
    <x v="8"/>
    <x v="3"/>
    <n v="35425"/>
    <n v="818311"/>
    <x v="0"/>
    <d v="2024-11-12T00:00:00"/>
    <x v="3"/>
    <n v="782886"/>
  </r>
  <r>
    <s v="ORD_0207 "/>
    <x v="1"/>
    <x v="5"/>
    <n v="43524"/>
    <n v="605247"/>
    <x v="0"/>
    <d v="2024-11-24T00:00:00"/>
    <x v="0"/>
    <n v="561723"/>
  </r>
  <r>
    <s v="ORD_0222 "/>
    <x v="5"/>
    <x v="0"/>
    <n v="78632"/>
    <n v="334657"/>
    <x v="0"/>
    <d v="2024-10-27T00:00:00"/>
    <x v="6"/>
    <n v="256025"/>
  </r>
  <r>
    <s v="ORD_0054 "/>
    <x v="9"/>
    <x v="3"/>
    <n v="125696"/>
    <n v="1458244"/>
    <x v="0"/>
    <d v="2024-11-18T00:00:00"/>
    <x v="0"/>
    <n v="1332548"/>
  </r>
  <r>
    <s v="ORD_0035 "/>
    <x v="2"/>
    <x v="4"/>
    <n v="93455"/>
    <n v="1781299"/>
    <x v="0"/>
    <d v="2024-07-11T00:00:00"/>
    <x v="16"/>
    <n v="1687844"/>
  </r>
  <r>
    <s v="ORD_0131 "/>
    <x v="7"/>
    <x v="2"/>
    <n v="8855"/>
    <n v="1113569"/>
    <x v="0"/>
    <d v="2024-02-11T00:00:00"/>
    <x v="19"/>
    <n v="1104714"/>
  </r>
  <r>
    <s v="ORD_0115 "/>
    <x v="6"/>
    <x v="3"/>
    <n v="32015"/>
    <n v="1990668"/>
    <x v="0"/>
    <d v="2024-12-21T00:00:00"/>
    <x v="4"/>
    <n v="1958653"/>
  </r>
  <r>
    <s v="ORD_0062 "/>
    <x v="2"/>
    <x v="7"/>
    <n v="15935"/>
    <n v="457208"/>
    <x v="0"/>
    <d v="2024-10-21T00:00:00"/>
    <x v="6"/>
    <n v="441273"/>
  </r>
  <r>
    <s v="ORD_0188 "/>
    <x v="0"/>
    <x v="7"/>
    <n v="9348"/>
    <n v="777821"/>
    <x v="0"/>
    <d v="2024-10-24T00:00:00"/>
    <x v="6"/>
    <n v="768473"/>
  </r>
  <r>
    <s v="ORD_0059 "/>
    <x v="3"/>
    <x v="3"/>
    <n v="131437"/>
    <n v="1925437"/>
    <x v="0"/>
    <d v="2024-10-12T00:00:00"/>
    <x v="10"/>
    <n v="1794000"/>
  </r>
  <r>
    <s v="ORD_0301 "/>
    <x v="1"/>
    <x v="3"/>
    <n v="103852"/>
    <n v="801143"/>
    <x v="0"/>
    <d v="2024-04-10T00:00:00"/>
    <x v="5"/>
    <n v="697291"/>
  </r>
  <r>
    <s v="ORD_0309 "/>
    <x v="7"/>
    <x v="3"/>
    <n v="137039"/>
    <n v="1394653"/>
    <x v="0"/>
    <d v="2024-11-29T00:00:00"/>
    <x v="9"/>
    <n v="1257614"/>
  </r>
  <r>
    <s v="ORD_0114 "/>
    <x v="6"/>
    <x v="1"/>
    <n v="12063"/>
    <n v="1767016"/>
    <x v="0"/>
    <d v="2024-12-11T00:00:00"/>
    <x v="1"/>
    <n v="1754953"/>
  </r>
  <r>
    <s v="ORD_0300 "/>
    <x v="9"/>
    <x v="4"/>
    <n v="54038"/>
    <n v="444100"/>
    <x v="0"/>
    <d v="2024-11-14T00:00:00"/>
    <x v="3"/>
    <n v="390062"/>
  </r>
  <r>
    <s v="ORD_0169 "/>
    <x v="2"/>
    <x v="4"/>
    <n v="199874"/>
    <n v="426101"/>
    <x v="0"/>
    <d v="2024-08-12T00:00:00"/>
    <x v="17"/>
    <n v="226227"/>
  </r>
  <r>
    <s v="ORD_0229 "/>
    <x v="4"/>
    <x v="4"/>
    <n v="168086"/>
    <n v="281511"/>
    <x v="0"/>
    <d v="2024-09-11T00:00:00"/>
    <x v="7"/>
    <n v="113425"/>
  </r>
  <r>
    <s v="ORD_0136 "/>
    <x v="1"/>
    <x v="3"/>
    <n v="116275"/>
    <n v="745463"/>
    <x v="0"/>
    <d v="2024-12-13T00:00:00"/>
    <x v="1"/>
    <n v="629188"/>
  </r>
  <r>
    <s v="ORD_0340 "/>
    <x v="7"/>
    <x v="0"/>
    <n v="100711"/>
    <n v="595480"/>
    <x v="0"/>
    <d v="2024-12-25T00:00:00"/>
    <x v="14"/>
    <n v="494769"/>
  </r>
  <r>
    <s v="ORD_0019 "/>
    <x v="0"/>
    <x v="5"/>
    <n v="77268"/>
    <n v="895608"/>
    <x v="0"/>
    <d v="2024-12-15T00:00:00"/>
    <x v="1"/>
    <n v="818340"/>
  </r>
  <r>
    <s v="ORD_0072 "/>
    <x v="0"/>
    <x v="1"/>
    <n v="24028"/>
    <n v="0"/>
    <x v="1"/>
    <d v="2024-11-13T00:00:00"/>
    <x v="3"/>
    <n v="0"/>
  </r>
  <r>
    <s v="ORD_0288 "/>
    <x v="4"/>
    <x v="5"/>
    <n v="99823"/>
    <n v="1694704"/>
    <x v="0"/>
    <d v="2024-11-27T00:00:00"/>
    <x v="9"/>
    <n v="1594881"/>
  </r>
  <r>
    <s v="ORD_0151 "/>
    <x v="9"/>
    <x v="1"/>
    <n v="15228"/>
    <n v="1482845"/>
    <x v="0"/>
    <d v="2024-12-24T00:00:00"/>
    <x v="14"/>
    <n v="1467617"/>
  </r>
  <r>
    <s v="ORD_0272 "/>
    <x v="1"/>
    <x v="7"/>
    <n v="7991"/>
    <n v="0"/>
    <x v="1"/>
    <d v="2024-11-19T00:00:00"/>
    <x v="0"/>
    <n v="0"/>
  </r>
  <r>
    <s v="ORD_0270 "/>
    <x v="2"/>
    <x v="3"/>
    <n v="113567"/>
    <n v="0"/>
    <x v="1"/>
    <d v="2024-12-24T00:00:00"/>
    <x v="14"/>
    <n v="0"/>
  </r>
  <r>
    <s v="ORD_0009 "/>
    <x v="3"/>
    <x v="3"/>
    <n v="93368"/>
    <n v="247843"/>
    <x v="0"/>
    <d v="2024-11-27T00:00:00"/>
    <x v="9"/>
    <n v="154475"/>
  </r>
  <r>
    <s v="ORD_0053 "/>
    <x v="4"/>
    <x v="3"/>
    <n v="30666"/>
    <n v="1306441"/>
    <x v="0"/>
    <d v="2024-10-24T00:00:00"/>
    <x v="6"/>
    <n v="1275775"/>
  </r>
  <r>
    <s v="ORD_0111 "/>
    <x v="0"/>
    <x v="4"/>
    <n v="197231"/>
    <n v="0"/>
    <x v="1"/>
    <d v="2024-10-13T00:00:00"/>
    <x v="10"/>
    <n v="0"/>
  </r>
  <r>
    <s v="ORD_0022 "/>
    <x v="3"/>
    <x v="5"/>
    <n v="62375"/>
    <n v="1601143"/>
    <x v="0"/>
    <d v="2024-10-15T00:00:00"/>
    <x v="2"/>
    <n v="1538768"/>
  </r>
  <r>
    <s v="ORD_0029 "/>
    <x v="5"/>
    <x v="7"/>
    <n v="2779"/>
    <n v="1077942"/>
    <x v="0"/>
    <d v="2024-05-10T00:00:00"/>
    <x v="8"/>
    <n v="1075163"/>
  </r>
  <r>
    <s v="ORD_0202 "/>
    <x v="9"/>
    <x v="1"/>
    <n v="24737"/>
    <n v="1527172"/>
    <x v="0"/>
    <d v="2024-12-21T00:00:00"/>
    <x v="4"/>
    <n v="1502435"/>
  </r>
  <r>
    <s v="ORD_0265 "/>
    <x v="8"/>
    <x v="7"/>
    <n v="19086"/>
    <n v="345653"/>
    <x v="0"/>
    <d v="2024-10-30T00:00:00"/>
    <x v="21"/>
    <n v="326567"/>
  </r>
  <r>
    <s v="ORD_0065 "/>
    <x v="3"/>
    <x v="2"/>
    <n v="182658"/>
    <n v="601455"/>
    <x v="0"/>
    <d v="2024-11-23T00:00:00"/>
    <x v="0"/>
    <n v="418797"/>
  </r>
  <r>
    <s v="ORD_0012 "/>
    <x v="1"/>
    <x v="7"/>
    <n v="16614"/>
    <n v="0"/>
    <x v="1"/>
    <d v="2024-04-12T00:00:00"/>
    <x v="5"/>
    <n v="0"/>
  </r>
  <r>
    <s v="ORD_0254 "/>
    <x v="5"/>
    <x v="2"/>
    <n v="187713"/>
    <n v="289259"/>
    <x v="0"/>
    <d v="2024-10-14T00:00:00"/>
    <x v="2"/>
    <n v="101546"/>
  </r>
  <r>
    <s v="ORD_0295 "/>
    <x v="4"/>
    <x v="5"/>
    <n v="31245"/>
    <n v="0"/>
    <x v="1"/>
    <d v="2024-10-18T00:00:00"/>
    <x v="2"/>
    <n v="0"/>
  </r>
  <r>
    <s v="ORD_0276 "/>
    <x v="8"/>
    <x v="6"/>
    <n v="77272"/>
    <n v="401487"/>
    <x v="0"/>
    <d v="2024-10-27T00:00:00"/>
    <x v="6"/>
    <n v="324215"/>
  </r>
  <r>
    <s v="ORD_0297 "/>
    <x v="1"/>
    <x v="0"/>
    <n v="14476"/>
    <n v="1959270"/>
    <x v="0"/>
    <d v="2024-12-19T00:00:00"/>
    <x v="4"/>
    <n v="1944794"/>
  </r>
  <r>
    <s v="ORD_0075 "/>
    <x v="7"/>
    <x v="5"/>
    <n v="72443"/>
    <n v="708380"/>
    <x v="0"/>
    <d v="2024-03-11T00:00:00"/>
    <x v="12"/>
    <n v="635937"/>
  </r>
  <r>
    <s v="ORD_0048 "/>
    <x v="1"/>
    <x v="5"/>
    <n v="99427"/>
    <n v="1508170"/>
    <x v="0"/>
    <d v="2024-10-29T00:00:00"/>
    <x v="21"/>
    <n v="1408743"/>
  </r>
  <r>
    <s v="ORD_0100 "/>
    <x v="8"/>
    <x v="7"/>
    <n v="17737"/>
    <n v="1567997"/>
    <x v="0"/>
    <d v="2024-12-30T00:00:00"/>
    <x v="22"/>
    <n v="1550260"/>
  </r>
  <r>
    <s v="ORD_0173 "/>
    <x v="2"/>
    <x v="0"/>
    <n v="47594"/>
    <n v="1001247"/>
    <x v="0"/>
    <d v="2024-10-11T00:00:00"/>
    <x v="10"/>
    <n v="953653"/>
  </r>
  <r>
    <s v="ORD_0015 "/>
    <x v="5"/>
    <x v="6"/>
    <n v="21064"/>
    <n v="1123985"/>
    <x v="0"/>
    <d v="2024-11-30T00:00:00"/>
    <x v="9"/>
    <n v="1102921"/>
  </r>
  <r>
    <s v="ORD_0274 "/>
    <x v="1"/>
    <x v="0"/>
    <n v="87339"/>
    <n v="1232242"/>
    <x v="0"/>
    <d v="2024-12-31T00:00:00"/>
    <x v="22"/>
    <n v="1144903"/>
  </r>
  <r>
    <s v="ORD_0185 "/>
    <x v="8"/>
    <x v="4"/>
    <n v="63852"/>
    <n v="680308"/>
    <x v="0"/>
    <d v="2024-08-12T00:00:00"/>
    <x v="17"/>
    <n v="616456"/>
  </r>
  <r>
    <s v="ORD_0090 "/>
    <x v="4"/>
    <x v="5"/>
    <n v="24"/>
    <n v="0"/>
    <x v="1"/>
    <d v="2024-12-28T00:00:00"/>
    <x v="14"/>
    <n v="0"/>
  </r>
  <r>
    <s v="ORD_0052 "/>
    <x v="8"/>
    <x v="6"/>
    <n v="95878"/>
    <n v="1384749"/>
    <x v="0"/>
    <d v="2024-10-20T00:00:00"/>
    <x v="2"/>
    <n v="1288871"/>
  </r>
  <r>
    <s v="ORD_0206 "/>
    <x v="9"/>
    <x v="3"/>
    <n v="45592"/>
    <n v="1345493"/>
    <x v="0"/>
    <d v="2024-10-24T00:00:00"/>
    <x v="6"/>
    <n v="1299901"/>
  </r>
  <r>
    <s v="ORD_0303 "/>
    <x v="2"/>
    <x v="1"/>
    <n v="1379"/>
    <n v="653409"/>
    <x v="0"/>
    <d v="2024-04-12T00:00:00"/>
    <x v="5"/>
    <n v="652030"/>
  </r>
  <r>
    <s v="ORD_0200 "/>
    <x v="8"/>
    <x v="0"/>
    <n v="40312"/>
    <n v="1713287"/>
    <x v="0"/>
    <d v="2024-10-15T00:00:00"/>
    <x v="2"/>
    <n v="1672975"/>
  </r>
  <r>
    <s v="ORD_0165 "/>
    <x v="2"/>
    <x v="7"/>
    <n v="27949"/>
    <n v="0"/>
    <x v="1"/>
    <d v="2024-03-10T00:00:00"/>
    <x v="15"/>
    <n v="0"/>
  </r>
  <r>
    <s v="ORD_0066 "/>
    <x v="7"/>
    <x v="7"/>
    <n v="17805"/>
    <n v="625508"/>
    <x v="0"/>
    <d v="2024-06-11T00:00:00"/>
    <x v="11"/>
    <n v="607703"/>
  </r>
  <r>
    <s v="ORD_0071 "/>
    <x v="0"/>
    <x v="4"/>
    <n v="7568"/>
    <n v="1156467"/>
    <x v="0"/>
    <d v="2024-11-25T00:00:00"/>
    <x v="9"/>
    <n v="1148899"/>
  </r>
  <r>
    <s v="ORD_0233 "/>
    <x v="2"/>
    <x v="5"/>
    <n v="89315"/>
    <n v="1389039"/>
    <x v="0"/>
    <d v="2024-09-10T00:00:00"/>
    <x v="7"/>
    <n v="1299724"/>
  </r>
  <r>
    <s v="ORD_0231 "/>
    <x v="2"/>
    <x v="2"/>
    <n v="140472"/>
    <n v="376470"/>
    <x v="0"/>
    <d v="2024-12-11T00:00:00"/>
    <x v="1"/>
    <n v="235998"/>
  </r>
  <r>
    <s v="ORD_0038 "/>
    <x v="7"/>
    <x v="3"/>
    <n v="87685"/>
    <n v="0"/>
    <x v="1"/>
    <d v="2024-03-11T00:00:00"/>
    <x v="12"/>
    <n v="0"/>
  </r>
  <r>
    <s v="ORD_0286 "/>
    <x v="3"/>
    <x v="3"/>
    <n v="77989"/>
    <n v="1374491"/>
    <x v="0"/>
    <d v="2024-10-26T00:00:00"/>
    <x v="6"/>
    <n v="1296502"/>
  </r>
  <r>
    <s v="ORD_0221 "/>
    <x v="9"/>
    <x v="3"/>
    <n v="142143"/>
    <n v="1359362"/>
    <x v="0"/>
    <d v="2024-10-30T00:00:00"/>
    <x v="21"/>
    <n v="1217219"/>
  </r>
  <r>
    <s v="ORD_0056 "/>
    <x v="2"/>
    <x v="2"/>
    <n v="68227"/>
    <n v="455687"/>
    <x v="0"/>
    <d v="2024-02-12T00:00:00"/>
    <x v="20"/>
    <n v="387460"/>
  </r>
  <r>
    <s v="ORD_0139 "/>
    <x v="2"/>
    <x v="3"/>
    <n v="3767"/>
    <n v="1763036"/>
    <x v="0"/>
    <d v="2024-12-23T00:00:00"/>
    <x v="14"/>
    <n v="1759269"/>
  </r>
  <r>
    <s v="ORD_0141 "/>
    <x v="2"/>
    <x v="3"/>
    <n v="94926"/>
    <n v="735320"/>
    <x v="0"/>
    <d v="2024-10-18T00:00:00"/>
    <x v="2"/>
    <n v="640394"/>
  </r>
  <r>
    <s v="ORD_0076 "/>
    <x v="6"/>
    <x v="6"/>
    <n v="63064"/>
    <n v="211390"/>
    <x v="0"/>
    <d v="2024-04-12T00:00:00"/>
    <x v="5"/>
    <n v="148326"/>
  </r>
  <r>
    <s v="ORD_0091 "/>
    <x v="8"/>
    <x v="6"/>
    <n v="9525"/>
    <n v="1965692"/>
    <x v="0"/>
    <d v="2024-11-16T00:00:00"/>
    <x v="3"/>
    <n v="1956167"/>
  </r>
  <r>
    <s v="ORD_0290 "/>
    <x v="0"/>
    <x v="5"/>
    <n v="54989"/>
    <n v="473058"/>
    <x v="0"/>
    <d v="2024-11-20T00:00:00"/>
    <x v="0"/>
    <n v="418069"/>
  </r>
  <r>
    <s v="ORD_0264 "/>
    <x v="0"/>
    <x v="2"/>
    <n v="97705"/>
    <n v="1993703"/>
    <x v="0"/>
    <d v="2024-06-10T00:00:00"/>
    <x v="11"/>
    <n v="1895998"/>
  </r>
  <r>
    <s v="ORD_0124 "/>
    <x v="6"/>
    <x v="6"/>
    <n v="44466"/>
    <n v="0"/>
    <x v="1"/>
    <d v="2024-09-11T00:00:00"/>
    <x v="7"/>
    <n v="0"/>
  </r>
  <r>
    <s v="ORD_0147 "/>
    <x v="6"/>
    <x v="0"/>
    <n v="115881"/>
    <n v="731754"/>
    <x v="0"/>
    <d v="2024-10-12T00:00:00"/>
    <x v="10"/>
    <n v="615873"/>
  </r>
  <r>
    <s v="ORD_0224 "/>
    <x v="4"/>
    <x v="1"/>
    <n v="19105"/>
    <n v="929295"/>
    <x v="0"/>
    <d v="2024-10-19T00:00:00"/>
    <x v="2"/>
    <n v="910190"/>
  </r>
  <r>
    <s v="ORD_0118 "/>
    <x v="0"/>
    <x v="7"/>
    <n v="23334"/>
    <n v="1800480"/>
    <x v="0"/>
    <d v="2024-10-10T00:00:00"/>
    <x v="10"/>
    <n v="1777146"/>
  </r>
  <r>
    <s v="ORD_0061 "/>
    <x v="1"/>
    <x v="2"/>
    <n v="53538"/>
    <n v="631191"/>
    <x v="0"/>
    <d v="2024-09-11T00:00:00"/>
    <x v="7"/>
    <n v="577653"/>
  </r>
  <r>
    <s v="ORD_0064 "/>
    <x v="3"/>
    <x v="2"/>
    <n v="176436"/>
    <n v="372437"/>
    <x v="0"/>
    <d v="2024-10-18T00:00:00"/>
    <x v="2"/>
    <n v="196001"/>
  </r>
  <r>
    <s v="ORD_0158 "/>
    <x v="9"/>
    <x v="1"/>
    <n v="22547"/>
    <n v="1889627"/>
    <x v="0"/>
    <d v="2024-10-25T00:00:00"/>
    <x v="6"/>
    <n v="1867080"/>
  </r>
  <r>
    <s v="ORD_0159 "/>
    <x v="6"/>
    <x v="2"/>
    <n v="127225"/>
    <n v="1154393"/>
    <x v="0"/>
    <d v="2024-12-28T00:00:00"/>
    <x v="14"/>
    <n v="1027168"/>
  </r>
  <r>
    <s v="ORD_0157 "/>
    <x v="9"/>
    <x v="2"/>
    <n v="159168"/>
    <n v="980676"/>
    <x v="0"/>
    <d v="2024-11-20T00:00:00"/>
    <x v="0"/>
    <n v="821508"/>
  </r>
  <r>
    <s v="ORD_0122 "/>
    <x v="7"/>
    <x v="3"/>
    <n v="96236"/>
    <n v="1722830"/>
    <x v="0"/>
    <d v="2024-10-30T00:00:00"/>
    <x v="21"/>
    <n v="1626594"/>
  </r>
  <r>
    <s v="ORD_0163 "/>
    <x v="5"/>
    <x v="1"/>
    <n v="14173"/>
    <n v="1371478"/>
    <x v="0"/>
    <d v="2024-05-11T00:00:00"/>
    <x v="8"/>
    <n v="1357305"/>
  </r>
  <r>
    <s v="ORD_0039 "/>
    <x v="4"/>
    <x v="6"/>
    <n v="33859"/>
    <n v="698196"/>
    <x v="0"/>
    <d v="2024-04-12T00:00:00"/>
    <x v="5"/>
    <n v="664337"/>
  </r>
  <r>
    <s v="ORD_0110 "/>
    <x v="7"/>
    <x v="3"/>
    <n v="7285"/>
    <n v="1561518"/>
    <x v="0"/>
    <d v="2024-10-17T00:00:00"/>
    <x v="2"/>
    <n v="1554233"/>
  </r>
  <r>
    <s v="ORD_0063 "/>
    <x v="2"/>
    <x v="3"/>
    <n v="11049"/>
    <n v="1635003"/>
    <x v="0"/>
    <d v="2024-12-23T00:00:00"/>
    <x v="14"/>
    <n v="1623954"/>
  </r>
  <r>
    <s v="ORD_0327 "/>
    <x v="9"/>
    <x v="1"/>
    <n v="2061"/>
    <n v="1537765"/>
    <x v="0"/>
    <d v="2024-11-10T00:00:00"/>
    <x v="18"/>
    <n v="1535704"/>
  </r>
  <r>
    <s v="ORD_0055 "/>
    <x v="3"/>
    <x v="0"/>
    <n v="129491"/>
    <n v="0"/>
    <x v="1"/>
    <d v="2024-11-17T00:00:00"/>
    <x v="3"/>
    <n v="0"/>
  </r>
  <r>
    <s v="ORD_0094 "/>
    <x v="1"/>
    <x v="5"/>
    <n v="68913"/>
    <n v="814175"/>
    <x v="0"/>
    <d v="2024-01-11T00:00:00"/>
    <x v="13"/>
    <n v="745262"/>
  </r>
  <r>
    <s v="ORD_0204 "/>
    <x v="3"/>
    <x v="7"/>
    <n v="9025"/>
    <n v="1643886"/>
    <x v="0"/>
    <d v="2024-11-27T00:00:00"/>
    <x v="9"/>
    <n v="1634861"/>
  </r>
  <r>
    <s v="ORD_0271 "/>
    <x v="8"/>
    <x v="0"/>
    <n v="125773"/>
    <n v="456944"/>
    <x v="0"/>
    <d v="2024-03-12T00:00:00"/>
    <x v="12"/>
    <n v="331171"/>
  </r>
  <r>
    <s v="ORD_0323 "/>
    <x v="9"/>
    <x v="4"/>
    <n v="170105"/>
    <n v="1004575"/>
    <x v="0"/>
    <d v="2024-02-11T00:00:00"/>
    <x v="19"/>
    <n v="834470"/>
  </r>
  <r>
    <s v="ORD_0193 "/>
    <x v="2"/>
    <x v="5"/>
    <n v="83833"/>
    <n v="0"/>
    <x v="1"/>
    <d v="2024-06-11T00:00:00"/>
    <x v="11"/>
    <n v="0"/>
  </r>
  <r>
    <s v="ORD_0216 "/>
    <x v="4"/>
    <x v="2"/>
    <n v="80712"/>
    <n v="1937969"/>
    <x v="0"/>
    <d v="2024-11-12T00:00:00"/>
    <x v="3"/>
    <n v="1857257"/>
  </r>
  <r>
    <s v="ORD_0275 "/>
    <x v="4"/>
    <x v="0"/>
    <n v="40273"/>
    <n v="1440115"/>
    <x v="0"/>
    <d v="2024-10-23T00:00:00"/>
    <x v="6"/>
    <n v="1399842"/>
  </r>
  <r>
    <s v="ORD_0203 "/>
    <x v="7"/>
    <x v="5"/>
    <n v="46641"/>
    <n v="1403574"/>
    <x v="0"/>
    <d v="2024-10-31T00:00:00"/>
    <x v="21"/>
    <n v="1356933"/>
  </r>
  <r>
    <s v="ORD_0253 "/>
    <x v="0"/>
    <x v="0"/>
    <n v="89869"/>
    <n v="1450346"/>
    <x v="0"/>
    <d v="2024-02-12T00:00:00"/>
    <x v="20"/>
    <n v="1360477"/>
  </r>
  <r>
    <s v="ORD_0007 "/>
    <x v="2"/>
    <x v="1"/>
    <n v="26147"/>
    <n v="442787"/>
    <x v="0"/>
    <d v="2024-10-12T00:00:00"/>
    <x v="10"/>
    <n v="416640"/>
  </r>
  <r>
    <s v="ORD_0138 "/>
    <x v="9"/>
    <x v="6"/>
    <n v="23722"/>
    <n v="1893982"/>
    <x v="0"/>
    <d v="2024-04-11T00:00:00"/>
    <x v="5"/>
    <n v="1870260"/>
  </r>
  <r>
    <s v="ORD_0069 "/>
    <x v="4"/>
    <x v="4"/>
    <n v="94317"/>
    <n v="0"/>
    <x v="1"/>
    <d v="2024-09-11T00:00:00"/>
    <x v="7"/>
    <n v="0"/>
  </r>
  <r>
    <s v="ORD_0246 "/>
    <x v="6"/>
    <x v="3"/>
    <n v="55568"/>
    <n v="0"/>
    <x v="1"/>
    <d v="2024-01-12T00:00:00"/>
    <x v="13"/>
    <n v="0"/>
  </r>
  <r>
    <s v="ORD_0268 "/>
    <x v="0"/>
    <x v="0"/>
    <n v="98023"/>
    <n v="0"/>
    <x v="1"/>
    <d v="2024-11-15T00:00:00"/>
    <x v="3"/>
    <n v="0"/>
  </r>
  <r>
    <s v="ORD_0296 "/>
    <x v="4"/>
    <x v="5"/>
    <n v="70466"/>
    <n v="1811404"/>
    <x v="0"/>
    <d v="2024-12-30T00:00:00"/>
    <x v="22"/>
    <n v="1740938"/>
  </r>
  <r>
    <s v="ORD_0167 "/>
    <x v="0"/>
    <x v="4"/>
    <n v="128373"/>
    <n v="1318425"/>
    <x v="0"/>
    <d v="2024-08-10T00:00:00"/>
    <x v="23"/>
    <n v="1190052"/>
  </r>
  <r>
    <s v="ORD_0293 "/>
    <x v="5"/>
    <x v="1"/>
    <n v="14801"/>
    <n v="309991"/>
    <x v="0"/>
    <d v="2024-11-12T00:00:00"/>
    <x v="3"/>
    <n v="295190"/>
  </r>
  <r>
    <s v="ORD_0129 "/>
    <x v="4"/>
    <x v="0"/>
    <n v="88528"/>
    <n v="469339"/>
    <x v="0"/>
    <d v="2024-10-20T00:00:00"/>
    <x v="2"/>
    <n v="380811"/>
  </r>
  <r>
    <s v="ORD_0223 "/>
    <x v="0"/>
    <x v="0"/>
    <n v="50838"/>
    <n v="661154"/>
    <x v="0"/>
    <d v="2024-04-11T00:00:00"/>
    <x v="5"/>
    <n v="610316"/>
  </r>
  <r>
    <s v="ORD_0299 "/>
    <x v="6"/>
    <x v="5"/>
    <n v="48506"/>
    <n v="279998"/>
    <x v="0"/>
    <d v="2024-10-20T00:00:00"/>
    <x v="2"/>
    <n v="23149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75B760-F053-400D-9574-60D9FB7C949B}" name="PivotTable5" cacheId="9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A79:D89" firstHeaderRow="1" firstDataRow="2" firstDataCol="1"/>
  <pivotFields count="9">
    <pivotField dataField="1" showAll="0"/>
    <pivotField showAll="0"/>
    <pivotField axis="axisRow" showAll="0">
      <items count="9">
        <item x="1"/>
        <item x="7"/>
        <item x="0"/>
        <item x="3"/>
        <item x="4"/>
        <item x="2"/>
        <item x="6"/>
        <item x="5"/>
        <item t="default"/>
      </items>
    </pivotField>
    <pivotField showAll="0"/>
    <pivotField showAll="0"/>
    <pivotField axis="axisCol" showAll="0">
      <items count="3">
        <item x="1"/>
        <item x="0"/>
        <item t="default"/>
      </items>
    </pivotField>
    <pivotField numFmtId="14" showAll="0"/>
    <pivotField showAll="0"/>
    <pivotField showAll="0"/>
  </pivotFields>
  <rowFields count="1">
    <field x="2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5"/>
  </colFields>
  <colItems count="3">
    <i>
      <x/>
    </i>
    <i>
      <x v="1"/>
    </i>
    <i t="grand">
      <x/>
    </i>
  </colItems>
  <dataFields count="1">
    <dataField name="Count of Ma_Don" fld="0" subtotal="count" baseField="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01E3D8-0979-4451-8170-B7BFEFF8DC44}" name="PivotTable4" cacheId="9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A50:B75" firstHeaderRow="1" firstDataRow="1" firstDataCol="1"/>
  <pivotFields count="9">
    <pivotField showAll="0"/>
    <pivotField showAll="0"/>
    <pivotField showAll="0"/>
    <pivotField showAll="0"/>
    <pivotField dataField="1" showAll="0"/>
    <pivotField showAll="0"/>
    <pivotField numFmtId="14" showAll="0"/>
    <pivotField axis="axisRow" showAll="0">
      <items count="25">
        <item x="13"/>
        <item x="19"/>
        <item x="20"/>
        <item x="15"/>
        <item x="12"/>
        <item x="5"/>
        <item x="8"/>
        <item x="11"/>
        <item x="16"/>
        <item x="23"/>
        <item x="17"/>
        <item x="7"/>
        <item x="10"/>
        <item x="2"/>
        <item x="6"/>
        <item x="21"/>
        <item x="18"/>
        <item x="3"/>
        <item x="0"/>
        <item x="9"/>
        <item x="1"/>
        <item x="4"/>
        <item x="14"/>
        <item x="22"/>
        <item t="default"/>
      </items>
    </pivotField>
    <pivotField showAll="0"/>
  </pivotFields>
  <rowFields count="1">
    <field x="7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Items count="1">
    <i/>
  </colItems>
  <dataFields count="1">
    <dataField name="Sum of Revenue" fld="4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0BFDF1-AC90-47DA-A5F7-56DFABD17E20}" name="PivotTable3" cacheId="9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A34:B45" firstHeaderRow="1" firstDataRow="1" firstDataCol="1"/>
  <pivotFields count="9">
    <pivotField showAll="0"/>
    <pivotField axis="axisRow" showAll="0">
      <items count="11">
        <item x="9"/>
        <item x="4"/>
        <item x="8"/>
        <item x="7"/>
        <item x="0"/>
        <item x="6"/>
        <item x="1"/>
        <item x="2"/>
        <item x="3"/>
        <item x="5"/>
        <item t="default"/>
      </items>
    </pivotField>
    <pivotField showAll="0"/>
    <pivotField showAll="0"/>
    <pivotField dataField="1" showAll="0"/>
    <pivotField showAll="0"/>
    <pivotField numFmtId="14" showAll="0"/>
    <pivotField showAll="0"/>
    <pivotField showAll="0"/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Revenue" fld="4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93E903-BC82-49FC-BA08-EB96F822E3D9}" name="PivotTable2" cacheId="9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A18:B27" firstHeaderRow="1" firstDataRow="1" firstDataCol="1" rowPageCount="1" colPageCount="1"/>
  <pivotFields count="9">
    <pivotField dataField="1" showAll="0"/>
    <pivotField showAll="0"/>
    <pivotField axis="axisRow" showAll="0">
      <items count="9">
        <item x="1"/>
        <item x="7"/>
        <item x="0"/>
        <item x="3"/>
        <item x="4"/>
        <item x="2"/>
        <item x="6"/>
        <item x="5"/>
        <item t="default"/>
      </items>
    </pivotField>
    <pivotField showAll="0"/>
    <pivotField showAll="0"/>
    <pivotField axis="axisPage" showAll="0">
      <items count="3">
        <item x="1"/>
        <item x="0"/>
        <item t="default"/>
      </items>
    </pivotField>
    <pivotField numFmtId="14" showAll="0"/>
    <pivotField showAll="0"/>
    <pivotField showAll="0"/>
  </pivotFields>
  <rowFields count="1">
    <field x="2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pageFields count="1">
    <pageField fld="5" item="1" hier="-1"/>
  </pageFields>
  <dataFields count="1">
    <dataField name="Count of Ma_Don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D8B50E-2E05-4553-8B26-44CFA1A1FF8A}" name="PivotTable1" cacheId="9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A3:D12" firstHeaderRow="0" firstDataRow="1" firstDataCol="1"/>
  <pivotFields count="9">
    <pivotField dataField="1" showAll="0"/>
    <pivotField showAll="0"/>
    <pivotField axis="axisRow" showAll="0">
      <items count="9">
        <item x="1"/>
        <item x="7"/>
        <item x="0"/>
        <item x="3"/>
        <item x="4"/>
        <item x="2"/>
        <item x="6"/>
        <item x="5"/>
        <item t="default"/>
      </items>
    </pivotField>
    <pivotField dataField="1" showAll="0"/>
    <pivotField dataField="1" showAll="0"/>
    <pivotField showAll="0"/>
    <pivotField numFmtId="14" showAll="0"/>
    <pivotField showAll="0"/>
    <pivotField showAll="0"/>
  </pivotFields>
  <rowFields count="1">
    <field x="2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Revenue" fld="4" baseField="0" baseItem="0"/>
    <dataField name="Sum of Ad_Cost" fld="3" baseField="0" baseItem="0"/>
    <dataField name="Count of Ma_Don" fld="0" subtotal="count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AEA0C97-F936-49AB-AB0D-5595C67A55E0}" name="Table1" displayName="Table1" ref="A1:I341" totalsRowShown="0" dataDxfId="0">
  <autoFilter ref="A1:I341" xr:uid="{3AEA0C97-F936-49AB-AB0D-5595C67A55E0}"/>
  <tableColumns count="9">
    <tableColumn id="1" xr3:uid="{6DC885DE-AE59-4FEC-A2F9-E6321290386F}" name="Ma_Don" dataDxfId="9"/>
    <tableColumn id="2" xr3:uid="{7E48BFB3-E389-4B09-90FD-2527CDC080F8}" name="San_Pham" dataDxfId="8"/>
    <tableColumn id="3" xr3:uid="{1C833843-72F6-4266-8252-C141D6B13647}" name="Kênh" dataDxfId="7"/>
    <tableColumn id="4" xr3:uid="{42D28AE7-0151-40EA-BB67-2331B39995D9}" name="Ad_Cost" dataDxfId="6"/>
    <tableColumn id="5" xr3:uid="{6205227B-EB88-45E1-B036-156FECF3FFB6}" name="Revenue" dataDxfId="5"/>
    <tableColumn id="6" xr3:uid="{2A93EDAC-845B-4A97-B1D1-ED38E2D870E9}" name="Status" dataDxfId="4"/>
    <tableColumn id="7" xr3:uid="{D40EF993-A422-48A4-857E-0255B456B195}" name="Ngay_Dat" dataDxfId="3"/>
    <tableColumn id="8" xr3:uid="{E744B471-2611-4001-88D4-829DB40AAF9F}" name="Tuần" dataDxfId="2">
      <calculatedColumnFormula>WEEKNUM(G2,2)</calculatedColumnFormula>
    </tableColumn>
    <tableColumn id="9" xr3:uid="{76AB2D89-597E-4EB1-9FE5-62F9949FEB3F}" name="Lợi Nhuận" dataDxfId="1">
      <calculatedColumnFormula>IF(F2="Thành công", E2-D2, 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CDC51-7EDA-4E79-BFFC-79BBE8401795}">
  <dimension ref="A3:D89"/>
  <sheetViews>
    <sheetView tabSelected="1" topLeftCell="A67" zoomScale="82" zoomScaleNormal="82" workbookViewId="0">
      <selection activeCell="E95" sqref="E95"/>
    </sheetView>
  </sheetViews>
  <sheetFormatPr defaultRowHeight="14.4" x14ac:dyDescent="0.3"/>
  <cols>
    <col min="1" max="1" width="16.109375" bestFit="1" customWidth="1"/>
    <col min="2" max="2" width="17.44140625" customWidth="1"/>
    <col min="3" max="3" width="15.21875" customWidth="1"/>
    <col min="4" max="4" width="16.77734375" customWidth="1"/>
  </cols>
  <sheetData>
    <row r="3" spans="1:4" x14ac:dyDescent="0.3">
      <c r="A3" s="12" t="s">
        <v>401</v>
      </c>
      <c r="B3" t="s">
        <v>403</v>
      </c>
      <c r="C3" t="s">
        <v>404</v>
      </c>
      <c r="D3" t="s">
        <v>405</v>
      </c>
    </row>
    <row r="4" spans="1:4" x14ac:dyDescent="0.3">
      <c r="A4" s="13" t="s">
        <v>12</v>
      </c>
      <c r="B4" s="14">
        <v>31975699</v>
      </c>
      <c r="C4" s="14">
        <v>559590</v>
      </c>
      <c r="D4" s="14">
        <v>37</v>
      </c>
    </row>
    <row r="5" spans="1:4" x14ac:dyDescent="0.3">
      <c r="A5" s="13" t="s">
        <v>74</v>
      </c>
      <c r="B5" s="14">
        <v>28776261</v>
      </c>
      <c r="C5" s="14">
        <v>459581</v>
      </c>
      <c r="D5" s="14">
        <v>36</v>
      </c>
    </row>
    <row r="6" spans="1:4" x14ac:dyDescent="0.3">
      <c r="A6" s="13" t="s">
        <v>8</v>
      </c>
      <c r="B6" s="14">
        <v>54040869</v>
      </c>
      <c r="C6" s="14">
        <v>4912809</v>
      </c>
      <c r="D6" s="14">
        <v>58</v>
      </c>
    </row>
    <row r="7" spans="1:4" x14ac:dyDescent="0.3">
      <c r="A7" s="13" t="s">
        <v>20</v>
      </c>
      <c r="B7" s="14">
        <v>56442088</v>
      </c>
      <c r="C7" s="14">
        <v>4507772</v>
      </c>
      <c r="D7" s="14">
        <v>57</v>
      </c>
    </row>
    <row r="8" spans="1:4" x14ac:dyDescent="0.3">
      <c r="A8" s="13" t="s">
        <v>23</v>
      </c>
      <c r="B8" s="14">
        <v>24985268</v>
      </c>
      <c r="C8" s="14">
        <v>3173933</v>
      </c>
      <c r="D8" s="14">
        <v>29</v>
      </c>
    </row>
    <row r="9" spans="1:4" x14ac:dyDescent="0.3">
      <c r="A9" s="13" t="s">
        <v>18</v>
      </c>
      <c r="B9" s="14">
        <v>30284294</v>
      </c>
      <c r="C9" s="14">
        <v>4004732</v>
      </c>
      <c r="D9" s="14">
        <v>38</v>
      </c>
    </row>
    <row r="10" spans="1:4" x14ac:dyDescent="0.3">
      <c r="A10" s="13" t="s">
        <v>35</v>
      </c>
      <c r="B10" s="14">
        <v>46935156</v>
      </c>
      <c r="C10" s="14">
        <v>2617202</v>
      </c>
      <c r="D10" s="14">
        <v>45</v>
      </c>
    </row>
    <row r="11" spans="1:4" x14ac:dyDescent="0.3">
      <c r="A11" s="13" t="s">
        <v>31</v>
      </c>
      <c r="B11" s="14">
        <v>32097442</v>
      </c>
      <c r="C11" s="14">
        <v>2158371</v>
      </c>
      <c r="D11" s="14">
        <v>40</v>
      </c>
    </row>
    <row r="12" spans="1:4" x14ac:dyDescent="0.3">
      <c r="A12" s="13" t="s">
        <v>402</v>
      </c>
      <c r="B12" s="14">
        <v>305537077</v>
      </c>
      <c r="C12" s="14">
        <v>22393990</v>
      </c>
      <c r="D12" s="14">
        <v>340</v>
      </c>
    </row>
    <row r="16" spans="1:4" x14ac:dyDescent="0.3">
      <c r="A16" s="12" t="s">
        <v>2</v>
      </c>
      <c r="B16" t="s">
        <v>4</v>
      </c>
    </row>
    <row r="18" spans="1:2" x14ac:dyDescent="0.3">
      <c r="A18" s="12" t="s">
        <v>401</v>
      </c>
      <c r="B18" t="s">
        <v>405</v>
      </c>
    </row>
    <row r="19" spans="1:2" x14ac:dyDescent="0.3">
      <c r="A19" s="13" t="s">
        <v>12</v>
      </c>
      <c r="B19" s="14">
        <v>29</v>
      </c>
    </row>
    <row r="20" spans="1:2" x14ac:dyDescent="0.3">
      <c r="A20" s="13" t="s">
        <v>74</v>
      </c>
      <c r="B20" s="14">
        <v>29</v>
      </c>
    </row>
    <row r="21" spans="1:2" x14ac:dyDescent="0.3">
      <c r="A21" s="13" t="s">
        <v>8</v>
      </c>
      <c r="B21" s="14">
        <v>47</v>
      </c>
    </row>
    <row r="22" spans="1:2" x14ac:dyDescent="0.3">
      <c r="A22" s="13" t="s">
        <v>20</v>
      </c>
      <c r="B22" s="14">
        <v>47</v>
      </c>
    </row>
    <row r="23" spans="1:2" x14ac:dyDescent="0.3">
      <c r="A23" s="13" t="s">
        <v>23</v>
      </c>
      <c r="B23" s="14">
        <v>23</v>
      </c>
    </row>
    <row r="24" spans="1:2" x14ac:dyDescent="0.3">
      <c r="A24" s="13" t="s">
        <v>18</v>
      </c>
      <c r="B24" s="14">
        <v>31</v>
      </c>
    </row>
    <row r="25" spans="1:2" x14ac:dyDescent="0.3">
      <c r="A25" s="13" t="s">
        <v>35</v>
      </c>
      <c r="B25" s="14">
        <v>39</v>
      </c>
    </row>
    <row r="26" spans="1:2" x14ac:dyDescent="0.3">
      <c r="A26" s="13" t="s">
        <v>31</v>
      </c>
      <c r="B26" s="14">
        <v>31</v>
      </c>
    </row>
    <row r="27" spans="1:2" x14ac:dyDescent="0.3">
      <c r="A27" s="13" t="s">
        <v>402</v>
      </c>
      <c r="B27" s="14">
        <v>276</v>
      </c>
    </row>
    <row r="34" spans="1:2" x14ac:dyDescent="0.3">
      <c r="A34" s="12" t="s">
        <v>401</v>
      </c>
      <c r="B34" t="s">
        <v>403</v>
      </c>
    </row>
    <row r="35" spans="1:2" x14ac:dyDescent="0.3">
      <c r="A35" s="13" t="s">
        <v>46</v>
      </c>
      <c r="B35" s="14">
        <v>37983372</v>
      </c>
    </row>
    <row r="36" spans="1:2" x14ac:dyDescent="0.3">
      <c r="A36" s="13" t="s">
        <v>22</v>
      </c>
      <c r="B36" s="14">
        <v>28424679</v>
      </c>
    </row>
    <row r="37" spans="1:2" x14ac:dyDescent="0.3">
      <c r="A37" s="13" t="s">
        <v>42</v>
      </c>
      <c r="B37" s="14">
        <v>28837564</v>
      </c>
    </row>
    <row r="38" spans="1:2" x14ac:dyDescent="0.3">
      <c r="A38" s="13" t="s">
        <v>29</v>
      </c>
      <c r="B38" s="14">
        <v>24503763</v>
      </c>
    </row>
    <row r="39" spans="1:2" x14ac:dyDescent="0.3">
      <c r="A39" s="13" t="s">
        <v>7</v>
      </c>
      <c r="B39" s="14">
        <v>36349172</v>
      </c>
    </row>
    <row r="40" spans="1:2" x14ac:dyDescent="0.3">
      <c r="A40" s="13" t="s">
        <v>27</v>
      </c>
      <c r="B40" s="14">
        <v>22747917</v>
      </c>
    </row>
    <row r="41" spans="1:2" x14ac:dyDescent="0.3">
      <c r="A41" s="13" t="s">
        <v>10</v>
      </c>
      <c r="B41" s="14">
        <v>33379258</v>
      </c>
    </row>
    <row r="42" spans="1:2" x14ac:dyDescent="0.3">
      <c r="A42" s="13" t="s">
        <v>14</v>
      </c>
      <c r="B42" s="14">
        <v>39796438</v>
      </c>
    </row>
    <row r="43" spans="1:2" x14ac:dyDescent="0.3">
      <c r="A43" s="13" t="s">
        <v>17</v>
      </c>
      <c r="B43" s="14">
        <v>31710794</v>
      </c>
    </row>
    <row r="44" spans="1:2" x14ac:dyDescent="0.3">
      <c r="A44" s="13" t="s">
        <v>25</v>
      </c>
      <c r="B44" s="14">
        <v>21804120</v>
      </c>
    </row>
    <row r="45" spans="1:2" x14ac:dyDescent="0.3">
      <c r="A45" s="13" t="s">
        <v>402</v>
      </c>
      <c r="B45" s="14">
        <v>305537077</v>
      </c>
    </row>
    <row r="50" spans="1:2" x14ac:dyDescent="0.3">
      <c r="A50" s="12" t="s">
        <v>401</v>
      </c>
      <c r="B50" t="s">
        <v>403</v>
      </c>
    </row>
    <row r="51" spans="1:2" x14ac:dyDescent="0.3">
      <c r="A51" s="13">
        <v>2</v>
      </c>
      <c r="B51" s="14">
        <v>10765455</v>
      </c>
    </row>
    <row r="52" spans="1:2" x14ac:dyDescent="0.3">
      <c r="A52" s="13">
        <v>6</v>
      </c>
      <c r="B52" s="14">
        <v>8348739</v>
      </c>
    </row>
    <row r="53" spans="1:2" x14ac:dyDescent="0.3">
      <c r="A53" s="13">
        <v>7</v>
      </c>
      <c r="B53" s="14">
        <v>4971536</v>
      </c>
    </row>
    <row r="54" spans="1:2" x14ac:dyDescent="0.3">
      <c r="A54" s="13">
        <v>10</v>
      </c>
      <c r="B54" s="14">
        <v>1516344</v>
      </c>
    </row>
    <row r="55" spans="1:2" x14ac:dyDescent="0.3">
      <c r="A55" s="13">
        <v>11</v>
      </c>
      <c r="B55" s="14">
        <v>5097521</v>
      </c>
    </row>
    <row r="56" spans="1:2" x14ac:dyDescent="0.3">
      <c r="A56" s="13">
        <v>15</v>
      </c>
      <c r="B56" s="14">
        <v>12749360</v>
      </c>
    </row>
    <row r="57" spans="1:2" x14ac:dyDescent="0.3">
      <c r="A57" s="13">
        <v>19</v>
      </c>
      <c r="B57" s="14">
        <v>10793524</v>
      </c>
    </row>
    <row r="58" spans="1:2" x14ac:dyDescent="0.3">
      <c r="A58" s="13">
        <v>24</v>
      </c>
      <c r="B58" s="14">
        <v>11046153</v>
      </c>
    </row>
    <row r="59" spans="1:2" x14ac:dyDescent="0.3">
      <c r="A59" s="13">
        <v>28</v>
      </c>
      <c r="B59" s="14">
        <v>13039298</v>
      </c>
    </row>
    <row r="60" spans="1:2" x14ac:dyDescent="0.3">
      <c r="A60" s="13">
        <v>32</v>
      </c>
      <c r="B60" s="14">
        <v>4587286</v>
      </c>
    </row>
    <row r="61" spans="1:2" x14ac:dyDescent="0.3">
      <c r="A61" s="13">
        <v>33</v>
      </c>
      <c r="B61" s="14">
        <v>3373702</v>
      </c>
    </row>
    <row r="62" spans="1:2" x14ac:dyDescent="0.3">
      <c r="A62" s="13">
        <v>37</v>
      </c>
      <c r="B62" s="14">
        <v>8746811</v>
      </c>
    </row>
    <row r="63" spans="1:2" x14ac:dyDescent="0.3">
      <c r="A63" s="13">
        <v>41</v>
      </c>
      <c r="B63" s="14">
        <v>15602938</v>
      </c>
    </row>
    <row r="64" spans="1:2" x14ac:dyDescent="0.3">
      <c r="A64" s="13">
        <v>42</v>
      </c>
      <c r="B64" s="14">
        <v>21403670</v>
      </c>
    </row>
    <row r="65" spans="1:4" x14ac:dyDescent="0.3">
      <c r="A65" s="13">
        <v>43</v>
      </c>
      <c r="B65" s="14">
        <v>24496946</v>
      </c>
    </row>
    <row r="66" spans="1:4" x14ac:dyDescent="0.3">
      <c r="A66" s="13">
        <v>44</v>
      </c>
      <c r="B66" s="14">
        <v>10186343</v>
      </c>
    </row>
    <row r="67" spans="1:4" x14ac:dyDescent="0.3">
      <c r="A67" s="13">
        <v>45</v>
      </c>
      <c r="B67" s="14">
        <v>8700787</v>
      </c>
    </row>
    <row r="68" spans="1:4" x14ac:dyDescent="0.3">
      <c r="A68" s="13">
        <v>46</v>
      </c>
      <c r="B68" s="14">
        <v>22923431</v>
      </c>
    </row>
    <row r="69" spans="1:4" x14ac:dyDescent="0.3">
      <c r="A69" s="13">
        <v>47</v>
      </c>
      <c r="B69" s="14">
        <v>22206141</v>
      </c>
    </row>
    <row r="70" spans="1:4" x14ac:dyDescent="0.3">
      <c r="A70" s="13">
        <v>48</v>
      </c>
      <c r="B70" s="14">
        <v>18996254</v>
      </c>
    </row>
    <row r="71" spans="1:4" x14ac:dyDescent="0.3">
      <c r="A71" s="13">
        <v>50</v>
      </c>
      <c r="B71" s="14">
        <v>22638014</v>
      </c>
    </row>
    <row r="72" spans="1:4" x14ac:dyDescent="0.3">
      <c r="A72" s="13">
        <v>51</v>
      </c>
      <c r="B72" s="14">
        <v>17080915</v>
      </c>
    </row>
    <row r="73" spans="1:4" x14ac:dyDescent="0.3">
      <c r="A73" s="13">
        <v>52</v>
      </c>
      <c r="B73" s="14">
        <v>16971376</v>
      </c>
    </row>
    <row r="74" spans="1:4" x14ac:dyDescent="0.3">
      <c r="A74" s="13">
        <v>53</v>
      </c>
      <c r="B74" s="14">
        <v>9294533</v>
      </c>
    </row>
    <row r="75" spans="1:4" x14ac:dyDescent="0.3">
      <c r="A75" s="13" t="s">
        <v>402</v>
      </c>
      <c r="B75" s="14">
        <v>305537077</v>
      </c>
    </row>
    <row r="79" spans="1:4" x14ac:dyDescent="0.3">
      <c r="A79" s="12" t="s">
        <v>405</v>
      </c>
      <c r="B79" s="12" t="s">
        <v>406</v>
      </c>
    </row>
    <row r="80" spans="1:4" x14ac:dyDescent="0.3">
      <c r="A80" s="12" t="s">
        <v>401</v>
      </c>
      <c r="B80" t="s">
        <v>5</v>
      </c>
      <c r="C80" t="s">
        <v>4</v>
      </c>
      <c r="D80" t="s">
        <v>402</v>
      </c>
    </row>
    <row r="81" spans="1:4" x14ac:dyDescent="0.3">
      <c r="A81" s="13" t="s">
        <v>12</v>
      </c>
      <c r="B81" s="14">
        <v>8</v>
      </c>
      <c r="C81" s="14">
        <v>29</v>
      </c>
      <c r="D81" s="14">
        <v>37</v>
      </c>
    </row>
    <row r="82" spans="1:4" x14ac:dyDescent="0.3">
      <c r="A82" s="13" t="s">
        <v>74</v>
      </c>
      <c r="B82" s="14">
        <v>7</v>
      </c>
      <c r="C82" s="14">
        <v>29</v>
      </c>
      <c r="D82" s="14">
        <v>36</v>
      </c>
    </row>
    <row r="83" spans="1:4" x14ac:dyDescent="0.3">
      <c r="A83" s="13" t="s">
        <v>8</v>
      </c>
      <c r="B83" s="14">
        <v>11</v>
      </c>
      <c r="C83" s="14">
        <v>47</v>
      </c>
      <c r="D83" s="14">
        <v>58</v>
      </c>
    </row>
    <row r="84" spans="1:4" x14ac:dyDescent="0.3">
      <c r="A84" s="13" t="s">
        <v>20</v>
      </c>
      <c r="B84" s="14">
        <v>10</v>
      </c>
      <c r="C84" s="14">
        <v>47</v>
      </c>
      <c r="D84" s="14">
        <v>57</v>
      </c>
    </row>
    <row r="85" spans="1:4" x14ac:dyDescent="0.3">
      <c r="A85" s="13" t="s">
        <v>23</v>
      </c>
      <c r="B85" s="14">
        <v>6</v>
      </c>
      <c r="C85" s="14">
        <v>23</v>
      </c>
      <c r="D85" s="14">
        <v>29</v>
      </c>
    </row>
    <row r="86" spans="1:4" x14ac:dyDescent="0.3">
      <c r="A86" s="13" t="s">
        <v>18</v>
      </c>
      <c r="B86" s="14">
        <v>7</v>
      </c>
      <c r="C86" s="14">
        <v>31</v>
      </c>
      <c r="D86" s="14">
        <v>38</v>
      </c>
    </row>
    <row r="87" spans="1:4" x14ac:dyDescent="0.3">
      <c r="A87" s="13" t="s">
        <v>35</v>
      </c>
      <c r="B87" s="14">
        <v>6</v>
      </c>
      <c r="C87" s="14">
        <v>39</v>
      </c>
      <c r="D87" s="14">
        <v>45</v>
      </c>
    </row>
    <row r="88" spans="1:4" x14ac:dyDescent="0.3">
      <c r="A88" s="13" t="s">
        <v>31</v>
      </c>
      <c r="B88" s="14">
        <v>9</v>
      </c>
      <c r="C88" s="14">
        <v>31</v>
      </c>
      <c r="D88" s="14">
        <v>40</v>
      </c>
    </row>
    <row r="89" spans="1:4" x14ac:dyDescent="0.3">
      <c r="A89" s="13" t="s">
        <v>402</v>
      </c>
      <c r="B89" s="14">
        <v>64</v>
      </c>
      <c r="C89" s="14">
        <v>276</v>
      </c>
      <c r="D89" s="14">
        <v>340</v>
      </c>
    </row>
  </sheetData>
  <pageMargins left="0.7" right="0.7" top="0.75" bottom="0.75" header="0.3" footer="0.3"/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0"/>
  <sheetViews>
    <sheetView topLeftCell="A2" zoomScale="85" zoomScaleNormal="85" workbookViewId="0">
      <selection sqref="A1:I341"/>
    </sheetView>
  </sheetViews>
  <sheetFormatPr defaultColWidth="14.44140625" defaultRowHeight="15" customHeight="1" x14ac:dyDescent="0.3"/>
  <cols>
    <col min="1" max="1" width="12.109375" customWidth="1"/>
    <col min="2" max="2" width="20.77734375" customWidth="1"/>
    <col min="3" max="3" width="17.109375" customWidth="1"/>
    <col min="4" max="4" width="16.44140625" customWidth="1"/>
    <col min="5" max="5" width="15.109375" customWidth="1"/>
    <col min="6" max="6" width="22.88671875" customWidth="1"/>
    <col min="7" max="8" width="15.33203125" style="7" customWidth="1"/>
    <col min="9" max="9" width="14.109375" customWidth="1"/>
    <col min="10" max="30" width="8.6640625" customWidth="1"/>
  </cols>
  <sheetData>
    <row r="1" spans="1:9" ht="14.25" customHeight="1" x14ac:dyDescent="0.3">
      <c r="A1" s="4" t="s">
        <v>364</v>
      </c>
      <c r="B1" s="4" t="s">
        <v>365</v>
      </c>
      <c r="C1" s="4" t="s">
        <v>366</v>
      </c>
      <c r="D1" s="1" t="s">
        <v>0</v>
      </c>
      <c r="E1" s="1" t="s">
        <v>1</v>
      </c>
      <c r="F1" s="1" t="s">
        <v>2</v>
      </c>
      <c r="G1" s="6" t="s">
        <v>3</v>
      </c>
      <c r="H1" s="8" t="s">
        <v>368</v>
      </c>
      <c r="I1" s="4" t="s">
        <v>367</v>
      </c>
    </row>
    <row r="2" spans="1:9" ht="14.25" customHeight="1" x14ac:dyDescent="0.3">
      <c r="A2" s="2" t="s">
        <v>6</v>
      </c>
      <c r="B2" s="2" t="s">
        <v>7</v>
      </c>
      <c r="C2" s="2" t="s">
        <v>8</v>
      </c>
      <c r="D2" s="2">
        <v>125114</v>
      </c>
      <c r="E2" s="2">
        <v>1232047</v>
      </c>
      <c r="F2" s="2" t="s">
        <v>4</v>
      </c>
      <c r="G2" s="5">
        <v>45619</v>
      </c>
      <c r="H2" s="9">
        <f>WEEKNUM(G2,2)</f>
        <v>47</v>
      </c>
      <c r="I2" s="2">
        <f>IF(F2="Thành công", E2-D2, 0)</f>
        <v>1106933</v>
      </c>
    </row>
    <row r="3" spans="1:9" ht="14.25" customHeight="1" x14ac:dyDescent="0.3">
      <c r="A3" s="2" t="s">
        <v>9</v>
      </c>
      <c r="B3" s="2" t="s">
        <v>10</v>
      </c>
      <c r="C3" s="2" t="s">
        <v>8</v>
      </c>
      <c r="D3" s="2">
        <v>61133</v>
      </c>
      <c r="E3" s="2">
        <v>0</v>
      </c>
      <c r="F3" s="2" t="s">
        <v>5</v>
      </c>
      <c r="G3" s="5">
        <v>45641</v>
      </c>
      <c r="H3" s="9">
        <f>WEEKNUM(G3,2)</f>
        <v>50</v>
      </c>
      <c r="I3" s="2">
        <f>IF(F3="Thành công", E3-D3, 0)</f>
        <v>0</v>
      </c>
    </row>
    <row r="4" spans="1:9" ht="14.25" customHeight="1" x14ac:dyDescent="0.3">
      <c r="A4" s="2" t="s">
        <v>11</v>
      </c>
      <c r="B4" s="2" t="s">
        <v>10</v>
      </c>
      <c r="C4" s="2" t="s">
        <v>12</v>
      </c>
      <c r="D4" s="2">
        <v>26822</v>
      </c>
      <c r="E4" s="2">
        <v>1453244</v>
      </c>
      <c r="F4" s="2" t="s">
        <v>4</v>
      </c>
      <c r="G4" s="5">
        <v>45585</v>
      </c>
      <c r="H4" s="9">
        <f>WEEKNUM(G4,2)</f>
        <v>42</v>
      </c>
      <c r="I4" s="2">
        <f>IF(F4="Thành công", E4-D4, 0)</f>
        <v>1426422</v>
      </c>
    </row>
    <row r="5" spans="1:9" ht="14.25" customHeight="1" x14ac:dyDescent="0.3">
      <c r="A5" s="2" t="s">
        <v>13</v>
      </c>
      <c r="B5" s="2" t="s">
        <v>14</v>
      </c>
      <c r="C5" s="2" t="s">
        <v>8</v>
      </c>
      <c r="D5" s="2">
        <v>36733</v>
      </c>
      <c r="E5" s="2">
        <v>1939972</v>
      </c>
      <c r="F5" s="2" t="s">
        <v>4</v>
      </c>
      <c r="G5" s="5">
        <v>45612</v>
      </c>
      <c r="H5" s="9">
        <f>WEEKNUM(G5,2)</f>
        <v>46</v>
      </c>
      <c r="I5" s="2">
        <f>IF(F5="Thành công", E5-D5, 0)</f>
        <v>1903239</v>
      </c>
    </row>
    <row r="6" spans="1:9" ht="14.25" customHeight="1" x14ac:dyDescent="0.3">
      <c r="A6" s="2" t="s">
        <v>15</v>
      </c>
      <c r="B6" s="2" t="s">
        <v>10</v>
      </c>
      <c r="C6" s="2" t="s">
        <v>12</v>
      </c>
      <c r="D6" s="2">
        <v>11573</v>
      </c>
      <c r="E6" s="2">
        <v>1774467</v>
      </c>
      <c r="F6" s="2" t="s">
        <v>4</v>
      </c>
      <c r="G6" s="3">
        <v>45608</v>
      </c>
      <c r="H6" s="9">
        <f>WEEKNUM(G6,2)</f>
        <v>46</v>
      </c>
      <c r="I6" s="2">
        <f>IF(F6="Thành công", E6-D6, 0)</f>
        <v>1762894</v>
      </c>
    </row>
    <row r="7" spans="1:9" ht="14.25" customHeight="1" x14ac:dyDescent="0.3">
      <c r="A7" s="2" t="s">
        <v>16</v>
      </c>
      <c r="B7" s="2" t="s">
        <v>17</v>
      </c>
      <c r="C7" s="2" t="s">
        <v>18</v>
      </c>
      <c r="D7" s="2">
        <v>103141</v>
      </c>
      <c r="E7" s="2">
        <v>0</v>
      </c>
      <c r="F7" s="2" t="s">
        <v>5</v>
      </c>
      <c r="G7" s="5">
        <v>45646</v>
      </c>
      <c r="H7" s="9">
        <f>WEEKNUM(G7,2)</f>
        <v>51</v>
      </c>
      <c r="I7" s="2">
        <f>IF(F7="Thành công", E7-D7, 0)</f>
        <v>0</v>
      </c>
    </row>
    <row r="8" spans="1:9" ht="14.25" customHeight="1" x14ac:dyDescent="0.3">
      <c r="A8" s="2" t="s">
        <v>19</v>
      </c>
      <c r="B8" s="2" t="s">
        <v>7</v>
      </c>
      <c r="C8" s="2" t="s">
        <v>20</v>
      </c>
      <c r="D8" s="2">
        <v>117796</v>
      </c>
      <c r="E8" s="2">
        <v>875995</v>
      </c>
      <c r="F8" s="2" t="s">
        <v>4</v>
      </c>
      <c r="G8" s="3">
        <v>45393</v>
      </c>
      <c r="H8" s="9">
        <f>WEEKNUM(G8,2)</f>
        <v>15</v>
      </c>
      <c r="I8" s="2">
        <f>IF(F8="Thành công", E8-D8, 0)</f>
        <v>758199</v>
      </c>
    </row>
    <row r="9" spans="1:9" ht="14.25" customHeight="1" x14ac:dyDescent="0.3">
      <c r="A9" s="2" t="s">
        <v>21</v>
      </c>
      <c r="B9" s="2" t="s">
        <v>22</v>
      </c>
      <c r="C9" s="2" t="s">
        <v>23</v>
      </c>
      <c r="D9" s="2">
        <v>8555</v>
      </c>
      <c r="E9" s="2">
        <v>378936</v>
      </c>
      <c r="F9" s="2" t="s">
        <v>4</v>
      </c>
      <c r="G9" s="5">
        <v>45581</v>
      </c>
      <c r="H9" s="9">
        <f>WEEKNUM(G9,2)</f>
        <v>42</v>
      </c>
      <c r="I9" s="2">
        <f>IF(F9="Thành công", E9-D9, 0)</f>
        <v>370381</v>
      </c>
    </row>
    <row r="10" spans="1:9" ht="14.25" customHeight="1" x14ac:dyDescent="0.3">
      <c r="A10" s="2" t="s">
        <v>24</v>
      </c>
      <c r="B10" s="2" t="s">
        <v>25</v>
      </c>
      <c r="C10" s="2" t="s">
        <v>23</v>
      </c>
      <c r="D10" s="2">
        <v>156402</v>
      </c>
      <c r="E10" s="2">
        <v>376836</v>
      </c>
      <c r="F10" s="2" t="s">
        <v>4</v>
      </c>
      <c r="G10" s="5">
        <v>45616</v>
      </c>
      <c r="H10" s="9">
        <f>WEEKNUM(G10,2)</f>
        <v>47</v>
      </c>
      <c r="I10" s="2">
        <f>IF(F10="Thành công", E10-D10, 0)</f>
        <v>220434</v>
      </c>
    </row>
    <row r="11" spans="1:9" ht="14.25" customHeight="1" x14ac:dyDescent="0.3">
      <c r="A11" s="2" t="s">
        <v>26</v>
      </c>
      <c r="B11" s="2" t="s">
        <v>27</v>
      </c>
      <c r="C11" s="2" t="s">
        <v>8</v>
      </c>
      <c r="D11" s="2">
        <v>11628</v>
      </c>
      <c r="E11" s="2">
        <v>1285965</v>
      </c>
      <c r="F11" s="2" t="s">
        <v>4</v>
      </c>
      <c r="G11" s="5">
        <v>45586</v>
      </c>
      <c r="H11" s="9">
        <f>WEEKNUM(G11,2)</f>
        <v>43</v>
      </c>
      <c r="I11" s="2">
        <f>IF(F11="Thành công", E11-D11, 0)</f>
        <v>1274337</v>
      </c>
    </row>
    <row r="12" spans="1:9" ht="14.25" customHeight="1" x14ac:dyDescent="0.3">
      <c r="A12" s="2" t="s">
        <v>28</v>
      </c>
      <c r="B12" s="2" t="s">
        <v>29</v>
      </c>
      <c r="C12" s="2" t="s">
        <v>18</v>
      </c>
      <c r="D12" s="2">
        <v>146834</v>
      </c>
      <c r="E12" s="2">
        <v>256412</v>
      </c>
      <c r="F12" s="2" t="s">
        <v>4</v>
      </c>
      <c r="G12" s="3">
        <v>45546</v>
      </c>
      <c r="H12" s="9">
        <f>WEEKNUM(G12,2)</f>
        <v>37</v>
      </c>
      <c r="I12" s="2">
        <f>IF(F12="Thành công", E12-D12, 0)</f>
        <v>109578</v>
      </c>
    </row>
    <row r="13" spans="1:9" ht="14.25" customHeight="1" x14ac:dyDescent="0.3">
      <c r="A13" s="2" t="s">
        <v>30</v>
      </c>
      <c r="B13" s="2" t="s">
        <v>22</v>
      </c>
      <c r="C13" s="2" t="s">
        <v>31</v>
      </c>
      <c r="D13" s="2">
        <v>93792</v>
      </c>
      <c r="E13" s="2">
        <v>1698250</v>
      </c>
      <c r="F13" s="2" t="s">
        <v>4</v>
      </c>
      <c r="G13" s="5">
        <v>45611</v>
      </c>
      <c r="H13" s="9">
        <f>WEEKNUM(G13,2)</f>
        <v>46</v>
      </c>
      <c r="I13" s="2">
        <f>IF(F13="Thành công", E13-D13, 0)</f>
        <v>1604458</v>
      </c>
    </row>
    <row r="14" spans="1:9" ht="14.25" customHeight="1" x14ac:dyDescent="0.3">
      <c r="A14" s="2" t="s">
        <v>32</v>
      </c>
      <c r="B14" s="2" t="s">
        <v>14</v>
      </c>
      <c r="C14" s="2" t="s">
        <v>31</v>
      </c>
      <c r="D14" s="2">
        <v>47964</v>
      </c>
      <c r="E14" s="2">
        <v>329468</v>
      </c>
      <c r="F14" s="2" t="s">
        <v>4</v>
      </c>
      <c r="G14" s="3">
        <v>45423</v>
      </c>
      <c r="H14" s="9">
        <f>WEEKNUM(G14,2)</f>
        <v>19</v>
      </c>
      <c r="I14" s="2">
        <f>IF(F14="Thành công", E14-D14, 0)</f>
        <v>281504</v>
      </c>
    </row>
    <row r="15" spans="1:9" ht="14.25" customHeight="1" x14ac:dyDescent="0.3">
      <c r="A15" s="2" t="s">
        <v>33</v>
      </c>
      <c r="B15" s="2" t="s">
        <v>7</v>
      </c>
      <c r="C15" s="2" t="s">
        <v>23</v>
      </c>
      <c r="D15" s="2">
        <v>96372</v>
      </c>
      <c r="E15" s="2">
        <v>1490988</v>
      </c>
      <c r="F15" s="2" t="s">
        <v>4</v>
      </c>
      <c r="G15" s="5">
        <v>45623</v>
      </c>
      <c r="H15" s="9">
        <f>WEEKNUM(G15,2)</f>
        <v>48</v>
      </c>
      <c r="I15" s="2">
        <f>IF(F15="Thành công", E15-D15, 0)</f>
        <v>1394616</v>
      </c>
    </row>
    <row r="16" spans="1:9" ht="14.25" customHeight="1" x14ac:dyDescent="0.3">
      <c r="A16" s="2" t="s">
        <v>34</v>
      </c>
      <c r="B16" s="2" t="s">
        <v>7</v>
      </c>
      <c r="C16" s="2" t="s">
        <v>35</v>
      </c>
      <c r="D16" s="2">
        <v>49932</v>
      </c>
      <c r="E16" s="2">
        <v>805516</v>
      </c>
      <c r="F16" s="2" t="s">
        <v>4</v>
      </c>
      <c r="G16" s="3">
        <v>45575</v>
      </c>
      <c r="H16" s="9">
        <f>WEEKNUM(G16,2)</f>
        <v>41</v>
      </c>
      <c r="I16" s="2">
        <f>IF(F16="Thành công", E16-D16, 0)</f>
        <v>755584</v>
      </c>
    </row>
    <row r="17" spans="1:9" ht="14.25" customHeight="1" x14ac:dyDescent="0.3">
      <c r="A17" s="2" t="s">
        <v>36</v>
      </c>
      <c r="B17" s="2" t="s">
        <v>14</v>
      </c>
      <c r="C17" s="2" t="s">
        <v>18</v>
      </c>
      <c r="D17" s="2">
        <v>67368</v>
      </c>
      <c r="E17" s="2">
        <v>0</v>
      </c>
      <c r="F17" s="2" t="s">
        <v>5</v>
      </c>
      <c r="G17" s="5">
        <v>45640</v>
      </c>
      <c r="H17" s="9">
        <f>WEEKNUM(G17,2)</f>
        <v>50</v>
      </c>
      <c r="I17" s="2">
        <f>IF(F17="Thành công", E17-D17, 0)</f>
        <v>0</v>
      </c>
    </row>
    <row r="18" spans="1:9" ht="14.25" customHeight="1" x14ac:dyDescent="0.3">
      <c r="A18" s="2" t="s">
        <v>37</v>
      </c>
      <c r="B18" s="2" t="s">
        <v>27</v>
      </c>
      <c r="C18" s="2" t="s">
        <v>12</v>
      </c>
      <c r="D18" s="2">
        <v>25418</v>
      </c>
      <c r="E18" s="2">
        <v>342139</v>
      </c>
      <c r="F18" s="2" t="s">
        <v>4</v>
      </c>
      <c r="G18" s="5">
        <v>45580</v>
      </c>
      <c r="H18" s="9">
        <f>WEEKNUM(G18,2)</f>
        <v>42</v>
      </c>
      <c r="I18" s="2">
        <f>IF(F18="Thành công", E18-D18, 0)</f>
        <v>316721</v>
      </c>
    </row>
    <row r="19" spans="1:9" ht="14.25" customHeight="1" x14ac:dyDescent="0.3">
      <c r="A19" s="2" t="s">
        <v>38</v>
      </c>
      <c r="B19" s="2" t="s">
        <v>14</v>
      </c>
      <c r="C19" s="2" t="s">
        <v>12</v>
      </c>
      <c r="D19" s="2">
        <v>25017</v>
      </c>
      <c r="E19" s="2">
        <v>380396</v>
      </c>
      <c r="F19" s="2" t="s">
        <v>4</v>
      </c>
      <c r="G19" s="3">
        <v>45453</v>
      </c>
      <c r="H19" s="9">
        <f>WEEKNUM(G19,2)</f>
        <v>24</v>
      </c>
      <c r="I19" s="2">
        <f>IF(F19="Thành công", E19-D19, 0)</f>
        <v>355379</v>
      </c>
    </row>
    <row r="20" spans="1:9" ht="14.25" customHeight="1" x14ac:dyDescent="0.3">
      <c r="A20" s="2" t="s">
        <v>39</v>
      </c>
      <c r="B20" s="2" t="s">
        <v>17</v>
      </c>
      <c r="C20" s="2" t="s">
        <v>23</v>
      </c>
      <c r="D20" s="2">
        <v>166956</v>
      </c>
      <c r="E20" s="2">
        <v>0</v>
      </c>
      <c r="F20" s="2" t="s">
        <v>5</v>
      </c>
      <c r="G20" s="5">
        <v>45580</v>
      </c>
      <c r="H20" s="9">
        <f>WEEKNUM(G20,2)</f>
        <v>42</v>
      </c>
      <c r="I20" s="2">
        <f>IF(F20="Thành công", E20-D20, 0)</f>
        <v>0</v>
      </c>
    </row>
    <row r="21" spans="1:9" ht="14.25" customHeight="1" x14ac:dyDescent="0.3">
      <c r="A21" s="2" t="s">
        <v>40</v>
      </c>
      <c r="B21" s="2" t="s">
        <v>27</v>
      </c>
      <c r="C21" s="2" t="s">
        <v>23</v>
      </c>
      <c r="D21" s="2">
        <v>155532</v>
      </c>
      <c r="E21" s="2">
        <v>1933313</v>
      </c>
      <c r="F21" s="2" t="s">
        <v>4</v>
      </c>
      <c r="G21" s="3">
        <v>45454</v>
      </c>
      <c r="H21" s="9">
        <f>WEEKNUM(G21,2)</f>
        <v>24</v>
      </c>
      <c r="I21" s="2">
        <f>IF(F21="Thành công", E21-D21, 0)</f>
        <v>1777781</v>
      </c>
    </row>
    <row r="22" spans="1:9" ht="14.25" customHeight="1" x14ac:dyDescent="0.3">
      <c r="A22" s="2" t="s">
        <v>41</v>
      </c>
      <c r="B22" s="2" t="s">
        <v>42</v>
      </c>
      <c r="C22" s="2" t="s">
        <v>12</v>
      </c>
      <c r="D22" s="2">
        <v>16972</v>
      </c>
      <c r="E22" s="2">
        <v>360473</v>
      </c>
      <c r="F22" s="2" t="s">
        <v>4</v>
      </c>
      <c r="G22" s="3">
        <v>45362</v>
      </c>
      <c r="H22" s="9">
        <f>WEEKNUM(G22,2)</f>
        <v>11</v>
      </c>
      <c r="I22" s="2">
        <f>IF(F22="Thành công", E22-D22, 0)</f>
        <v>343501</v>
      </c>
    </row>
    <row r="23" spans="1:9" ht="14.25" customHeight="1" x14ac:dyDescent="0.3">
      <c r="A23" s="2" t="s">
        <v>43</v>
      </c>
      <c r="B23" s="2" t="s">
        <v>14</v>
      </c>
      <c r="C23" s="2" t="s">
        <v>35</v>
      </c>
      <c r="D23" s="2">
        <v>91337</v>
      </c>
      <c r="E23" s="2">
        <v>1073103</v>
      </c>
      <c r="F23" s="2" t="s">
        <v>4</v>
      </c>
      <c r="G23" s="3">
        <v>45392</v>
      </c>
      <c r="H23" s="9">
        <f>WEEKNUM(G23,2)</f>
        <v>15</v>
      </c>
      <c r="I23" s="2">
        <f>IF(F23="Thành công", E23-D23, 0)</f>
        <v>981766</v>
      </c>
    </row>
    <row r="24" spans="1:9" ht="14.25" customHeight="1" x14ac:dyDescent="0.3">
      <c r="A24" s="2" t="s">
        <v>44</v>
      </c>
      <c r="B24" s="2" t="s">
        <v>7</v>
      </c>
      <c r="C24" s="2" t="s">
        <v>20</v>
      </c>
      <c r="D24" s="2">
        <v>54558</v>
      </c>
      <c r="E24" s="2">
        <v>995104</v>
      </c>
      <c r="F24" s="2" t="s">
        <v>4</v>
      </c>
      <c r="G24" s="3">
        <v>45302</v>
      </c>
      <c r="H24" s="9">
        <f>WEEKNUM(G24,2)</f>
        <v>2</v>
      </c>
      <c r="I24" s="2">
        <f>IF(F24="Thành công", E24-D24, 0)</f>
        <v>940546</v>
      </c>
    </row>
    <row r="25" spans="1:9" ht="14.25" customHeight="1" x14ac:dyDescent="0.3">
      <c r="A25" s="2" t="s">
        <v>45</v>
      </c>
      <c r="B25" s="2" t="s">
        <v>46</v>
      </c>
      <c r="C25" s="2" t="s">
        <v>23</v>
      </c>
      <c r="D25" s="2">
        <v>67251</v>
      </c>
      <c r="E25" s="2">
        <v>1052035</v>
      </c>
      <c r="F25" s="2" t="s">
        <v>4</v>
      </c>
      <c r="G25" s="5">
        <v>45646</v>
      </c>
      <c r="H25" s="9">
        <f>WEEKNUM(G25,2)</f>
        <v>51</v>
      </c>
      <c r="I25" s="2">
        <f>IF(F25="Thành công", E25-D25, 0)</f>
        <v>984784</v>
      </c>
    </row>
    <row r="26" spans="1:9" ht="14.25" customHeight="1" x14ac:dyDescent="0.3">
      <c r="A26" s="2" t="s">
        <v>47</v>
      </c>
      <c r="B26" s="2" t="s">
        <v>27</v>
      </c>
      <c r="C26" s="2" t="s">
        <v>23</v>
      </c>
      <c r="D26" s="2">
        <v>672</v>
      </c>
      <c r="E26" s="2">
        <v>1612562</v>
      </c>
      <c r="F26" s="2" t="s">
        <v>4</v>
      </c>
      <c r="G26" s="3">
        <v>45546</v>
      </c>
      <c r="H26" s="9">
        <f>WEEKNUM(G26,2)</f>
        <v>37</v>
      </c>
      <c r="I26" s="2">
        <f>IF(F26="Thành công", E26-D26, 0)</f>
        <v>1611890</v>
      </c>
    </row>
    <row r="27" spans="1:9" ht="14.25" customHeight="1" x14ac:dyDescent="0.3">
      <c r="A27" s="2" t="s">
        <v>48</v>
      </c>
      <c r="B27" s="2" t="s">
        <v>22</v>
      </c>
      <c r="C27" s="2" t="s">
        <v>20</v>
      </c>
      <c r="D27" s="2">
        <v>83074</v>
      </c>
      <c r="E27" s="2">
        <v>0</v>
      </c>
      <c r="F27" s="2" t="s">
        <v>5</v>
      </c>
      <c r="G27" s="5">
        <v>45589</v>
      </c>
      <c r="H27" s="9">
        <f>WEEKNUM(G27,2)</f>
        <v>43</v>
      </c>
      <c r="I27" s="2">
        <f>IF(F27="Thành công", E27-D27, 0)</f>
        <v>0</v>
      </c>
    </row>
    <row r="28" spans="1:9" ht="14.25" customHeight="1" x14ac:dyDescent="0.3">
      <c r="A28" s="2" t="s">
        <v>49</v>
      </c>
      <c r="B28" s="2" t="s">
        <v>22</v>
      </c>
      <c r="C28" s="2" t="s">
        <v>31</v>
      </c>
      <c r="D28" s="2">
        <v>24234</v>
      </c>
      <c r="E28" s="2">
        <v>926936</v>
      </c>
      <c r="F28" s="2" t="s">
        <v>4</v>
      </c>
      <c r="G28" s="5">
        <v>45653</v>
      </c>
      <c r="H28" s="9">
        <f>WEEKNUM(G28,2)</f>
        <v>52</v>
      </c>
      <c r="I28" s="2">
        <f>IF(F28="Thành công", E28-D28, 0)</f>
        <v>902702</v>
      </c>
    </row>
    <row r="29" spans="1:9" ht="14.25" customHeight="1" x14ac:dyDescent="0.3">
      <c r="A29" s="2" t="s">
        <v>50</v>
      </c>
      <c r="B29" s="2" t="s">
        <v>10</v>
      </c>
      <c r="C29" s="2" t="s">
        <v>8</v>
      </c>
      <c r="D29" s="2">
        <v>126085</v>
      </c>
      <c r="E29" s="2">
        <v>561231</v>
      </c>
      <c r="F29" s="2" t="s">
        <v>4</v>
      </c>
      <c r="G29" s="3">
        <v>45361</v>
      </c>
      <c r="H29" s="9">
        <f>WEEKNUM(G29,2)</f>
        <v>10</v>
      </c>
      <c r="I29" s="2">
        <f>IF(F29="Thành công", E29-D29, 0)</f>
        <v>435146</v>
      </c>
    </row>
    <row r="30" spans="1:9" ht="14.25" customHeight="1" x14ac:dyDescent="0.3">
      <c r="A30" s="2" t="s">
        <v>51</v>
      </c>
      <c r="B30" s="2" t="s">
        <v>27</v>
      </c>
      <c r="C30" s="2" t="s">
        <v>31</v>
      </c>
      <c r="D30" s="2">
        <v>87422</v>
      </c>
      <c r="E30" s="2">
        <v>1436718</v>
      </c>
      <c r="F30" s="2" t="s">
        <v>4</v>
      </c>
      <c r="G30" s="5">
        <v>45646</v>
      </c>
      <c r="H30" s="9">
        <f>WEEKNUM(G30,2)</f>
        <v>51</v>
      </c>
      <c r="I30" s="2">
        <f>IF(F30="Thành công", E30-D30, 0)</f>
        <v>1349296</v>
      </c>
    </row>
    <row r="31" spans="1:9" ht="14.25" customHeight="1" x14ac:dyDescent="0.3">
      <c r="A31" s="2" t="s">
        <v>52</v>
      </c>
      <c r="B31" s="2" t="s">
        <v>27</v>
      </c>
      <c r="C31" s="2" t="s">
        <v>31</v>
      </c>
      <c r="D31" s="2">
        <v>30597</v>
      </c>
      <c r="E31" s="2">
        <v>1077051</v>
      </c>
      <c r="F31" s="2" t="s">
        <v>4</v>
      </c>
      <c r="G31" s="3">
        <v>45485</v>
      </c>
      <c r="H31" s="9">
        <f>WEEKNUM(G31,2)</f>
        <v>28</v>
      </c>
      <c r="I31" s="2">
        <f>IF(F31="Thành công", E31-D31, 0)</f>
        <v>1046454</v>
      </c>
    </row>
    <row r="32" spans="1:9" ht="14.25" customHeight="1" x14ac:dyDescent="0.3">
      <c r="A32" s="2" t="s">
        <v>53</v>
      </c>
      <c r="B32" s="2" t="s">
        <v>17</v>
      </c>
      <c r="C32" s="2" t="s">
        <v>35</v>
      </c>
      <c r="D32" s="2">
        <v>82557</v>
      </c>
      <c r="E32" s="2">
        <v>1302666</v>
      </c>
      <c r="F32" s="2" t="s">
        <v>4</v>
      </c>
      <c r="G32" s="3">
        <v>45516</v>
      </c>
      <c r="H32" s="9">
        <f>WEEKNUM(G32,2)</f>
        <v>33</v>
      </c>
      <c r="I32" s="2">
        <f>IF(F32="Thành công", E32-D32, 0)</f>
        <v>1220109</v>
      </c>
    </row>
    <row r="33" spans="1:9" ht="14.25" customHeight="1" x14ac:dyDescent="0.3">
      <c r="A33" s="2" t="s">
        <v>54</v>
      </c>
      <c r="B33" s="2" t="s">
        <v>22</v>
      </c>
      <c r="C33" s="2" t="s">
        <v>18</v>
      </c>
      <c r="D33" s="2">
        <v>58311</v>
      </c>
      <c r="E33" s="2">
        <v>1746739</v>
      </c>
      <c r="F33" s="2" t="s">
        <v>4</v>
      </c>
      <c r="G33" s="3">
        <v>45637</v>
      </c>
      <c r="H33" s="9">
        <f>WEEKNUM(G33,2)</f>
        <v>50</v>
      </c>
      <c r="I33" s="2">
        <f>IF(F33="Thành công", E33-D33, 0)</f>
        <v>1688428</v>
      </c>
    </row>
    <row r="34" spans="1:9" ht="14.25" customHeight="1" x14ac:dyDescent="0.3">
      <c r="A34" s="2" t="s">
        <v>55</v>
      </c>
      <c r="B34" s="2" t="s">
        <v>25</v>
      </c>
      <c r="C34" s="2" t="s">
        <v>35</v>
      </c>
      <c r="D34" s="2">
        <v>53272</v>
      </c>
      <c r="E34" s="2">
        <v>1596681</v>
      </c>
      <c r="F34" s="2" t="s">
        <v>4</v>
      </c>
      <c r="G34" s="5">
        <v>45587</v>
      </c>
      <c r="H34" s="9">
        <f>WEEKNUM(G34,2)</f>
        <v>43</v>
      </c>
      <c r="I34" s="2">
        <f>IF(F34="Thành công", E34-D34, 0)</f>
        <v>1543409</v>
      </c>
    </row>
    <row r="35" spans="1:9" ht="14.25" customHeight="1" x14ac:dyDescent="0.3">
      <c r="A35" s="2" t="s">
        <v>56</v>
      </c>
      <c r="B35" s="2" t="s">
        <v>27</v>
      </c>
      <c r="C35" s="2" t="s">
        <v>18</v>
      </c>
      <c r="D35" s="2">
        <v>81606</v>
      </c>
      <c r="E35" s="2">
        <v>288004</v>
      </c>
      <c r="F35" s="2" t="s">
        <v>4</v>
      </c>
      <c r="G35" s="3">
        <v>45637</v>
      </c>
      <c r="H35" s="9">
        <f>WEEKNUM(G35,2)</f>
        <v>50</v>
      </c>
      <c r="I35" s="2">
        <f>IF(F35="Thành công", E35-D35, 0)</f>
        <v>206398</v>
      </c>
    </row>
    <row r="36" spans="1:9" ht="14.25" customHeight="1" x14ac:dyDescent="0.3">
      <c r="A36" s="2" t="s">
        <v>57</v>
      </c>
      <c r="B36" s="2" t="s">
        <v>17</v>
      </c>
      <c r="C36" s="2" t="s">
        <v>8</v>
      </c>
      <c r="D36" s="2">
        <v>48074</v>
      </c>
      <c r="E36" s="2">
        <v>338806</v>
      </c>
      <c r="F36" s="2" t="s">
        <v>4</v>
      </c>
      <c r="G36" s="5">
        <v>45580</v>
      </c>
      <c r="H36" s="9">
        <f>WEEKNUM(G36,2)</f>
        <v>42</v>
      </c>
      <c r="I36" s="2">
        <f>IF(F36="Thành công", E36-D36, 0)</f>
        <v>290732</v>
      </c>
    </row>
    <row r="37" spans="1:9" ht="14.25" customHeight="1" x14ac:dyDescent="0.3">
      <c r="A37" s="2" t="s">
        <v>58</v>
      </c>
      <c r="B37" s="2" t="s">
        <v>29</v>
      </c>
      <c r="C37" s="2" t="s">
        <v>20</v>
      </c>
      <c r="D37" s="2">
        <v>52465</v>
      </c>
      <c r="E37" s="2">
        <v>802089</v>
      </c>
      <c r="F37" s="2" t="s">
        <v>4</v>
      </c>
      <c r="G37" s="5">
        <v>45592</v>
      </c>
      <c r="H37" s="9">
        <f>WEEKNUM(G37,2)</f>
        <v>43</v>
      </c>
      <c r="I37" s="2">
        <f>IF(F37="Thành công", E37-D37, 0)</f>
        <v>749624</v>
      </c>
    </row>
    <row r="38" spans="1:9" ht="14.25" customHeight="1" x14ac:dyDescent="0.3">
      <c r="A38" s="2" t="s">
        <v>59</v>
      </c>
      <c r="B38" s="2" t="s">
        <v>7</v>
      </c>
      <c r="C38" s="2" t="s">
        <v>12</v>
      </c>
      <c r="D38" s="2">
        <v>5038</v>
      </c>
      <c r="E38" s="2">
        <v>446658</v>
      </c>
      <c r="F38" s="2" t="s">
        <v>4</v>
      </c>
      <c r="G38" s="5">
        <v>45611</v>
      </c>
      <c r="H38" s="9">
        <f>WEEKNUM(G38,2)</f>
        <v>46</v>
      </c>
      <c r="I38" s="2">
        <f>IF(F38="Thành công", E38-D38, 0)</f>
        <v>441620</v>
      </c>
    </row>
    <row r="39" spans="1:9" ht="14.25" customHeight="1" x14ac:dyDescent="0.3">
      <c r="A39" s="2" t="s">
        <v>60</v>
      </c>
      <c r="B39" s="2" t="s">
        <v>7</v>
      </c>
      <c r="C39" s="2" t="s">
        <v>12</v>
      </c>
      <c r="D39" s="2">
        <v>7824</v>
      </c>
      <c r="E39" s="2">
        <v>1264199</v>
      </c>
      <c r="F39" s="2" t="s">
        <v>4</v>
      </c>
      <c r="G39" s="3">
        <v>45483</v>
      </c>
      <c r="H39" s="9">
        <f>WEEKNUM(G39,2)</f>
        <v>28</v>
      </c>
      <c r="I39" s="2">
        <f>IF(F39="Thành công", E39-D39, 0)</f>
        <v>1256375</v>
      </c>
    </row>
    <row r="40" spans="1:9" ht="14.25" customHeight="1" x14ac:dyDescent="0.3">
      <c r="A40" s="2" t="s">
        <v>61</v>
      </c>
      <c r="B40" s="2" t="s">
        <v>10</v>
      </c>
      <c r="C40" s="2" t="s">
        <v>8</v>
      </c>
      <c r="D40" s="2">
        <v>110808</v>
      </c>
      <c r="E40" s="2">
        <v>386222</v>
      </c>
      <c r="F40" s="2" t="s">
        <v>4</v>
      </c>
      <c r="G40" s="5">
        <v>45646</v>
      </c>
      <c r="H40" s="9">
        <f>WEEKNUM(G40,2)</f>
        <v>51</v>
      </c>
      <c r="I40" s="2">
        <f>IF(F40="Thành công", E40-D40, 0)</f>
        <v>275414</v>
      </c>
    </row>
    <row r="41" spans="1:9" ht="14.25" customHeight="1" x14ac:dyDescent="0.3">
      <c r="A41" s="2" t="s">
        <v>62</v>
      </c>
      <c r="B41" s="2" t="s">
        <v>42</v>
      </c>
      <c r="C41" s="2" t="s">
        <v>20</v>
      </c>
      <c r="D41" s="2">
        <v>124873</v>
      </c>
      <c r="E41" s="2">
        <v>1396454</v>
      </c>
      <c r="F41" s="2" t="s">
        <v>4</v>
      </c>
      <c r="G41" s="3">
        <v>45485</v>
      </c>
      <c r="H41" s="9">
        <f>WEEKNUM(G41,2)</f>
        <v>28</v>
      </c>
      <c r="I41" s="2">
        <f>IF(F41="Thành công", E41-D41, 0)</f>
        <v>1271581</v>
      </c>
    </row>
    <row r="42" spans="1:9" ht="14.25" customHeight="1" x14ac:dyDescent="0.3">
      <c r="A42" s="2" t="s">
        <v>63</v>
      </c>
      <c r="B42" s="2" t="s">
        <v>14</v>
      </c>
      <c r="C42" s="2" t="s">
        <v>20</v>
      </c>
      <c r="D42" s="2">
        <v>6322</v>
      </c>
      <c r="E42" s="2">
        <v>1782419</v>
      </c>
      <c r="F42" s="2" t="s">
        <v>4</v>
      </c>
      <c r="G42" s="3">
        <v>45546</v>
      </c>
      <c r="H42" s="9">
        <f>WEEKNUM(G42,2)</f>
        <v>37</v>
      </c>
      <c r="I42" s="2">
        <f>IF(F42="Thành công", E42-D42, 0)</f>
        <v>1776097</v>
      </c>
    </row>
    <row r="43" spans="1:9" ht="14.25" customHeight="1" x14ac:dyDescent="0.3">
      <c r="A43" s="2" t="s">
        <v>64</v>
      </c>
      <c r="B43" s="2" t="s">
        <v>25</v>
      </c>
      <c r="C43" s="2" t="s">
        <v>8</v>
      </c>
      <c r="D43" s="2">
        <v>127343</v>
      </c>
      <c r="E43" s="2">
        <v>1625136</v>
      </c>
      <c r="F43" s="2" t="s">
        <v>4</v>
      </c>
      <c r="G43" s="5">
        <v>45590</v>
      </c>
      <c r="H43" s="9">
        <f>WEEKNUM(G43,2)</f>
        <v>43</v>
      </c>
      <c r="I43" s="2">
        <f>IF(F43="Thành công", E43-D43, 0)</f>
        <v>1497793</v>
      </c>
    </row>
    <row r="44" spans="1:9" ht="14.25" customHeight="1" x14ac:dyDescent="0.3">
      <c r="A44" s="2" t="s">
        <v>65</v>
      </c>
      <c r="B44" s="2" t="s">
        <v>14</v>
      </c>
      <c r="C44" s="2" t="s">
        <v>8</v>
      </c>
      <c r="D44" s="2">
        <v>14801</v>
      </c>
      <c r="E44" s="2">
        <v>634730</v>
      </c>
      <c r="F44" s="2" t="s">
        <v>4</v>
      </c>
      <c r="G44" s="3">
        <v>45547</v>
      </c>
      <c r="H44" s="9">
        <f>WEEKNUM(G44,2)</f>
        <v>37</v>
      </c>
      <c r="I44" s="2">
        <f>IF(F44="Thành công", E44-D44, 0)</f>
        <v>619929</v>
      </c>
    </row>
    <row r="45" spans="1:9" ht="14.25" customHeight="1" x14ac:dyDescent="0.3">
      <c r="A45" s="2" t="s">
        <v>66</v>
      </c>
      <c r="B45" s="2" t="s">
        <v>7</v>
      </c>
      <c r="C45" s="2" t="s">
        <v>8</v>
      </c>
      <c r="D45" s="2">
        <v>119748</v>
      </c>
      <c r="E45" s="2">
        <v>216309</v>
      </c>
      <c r="F45" s="2" t="s">
        <v>4</v>
      </c>
      <c r="G45" s="5">
        <v>45647</v>
      </c>
      <c r="H45" s="9">
        <f>WEEKNUM(G45,2)</f>
        <v>51</v>
      </c>
      <c r="I45" s="2">
        <f>IF(F45="Thành công", E45-D45, 0)</f>
        <v>96561</v>
      </c>
    </row>
    <row r="46" spans="1:9" ht="14.25" customHeight="1" x14ac:dyDescent="0.3">
      <c r="A46" s="2" t="s">
        <v>67</v>
      </c>
      <c r="B46" s="2" t="s">
        <v>7</v>
      </c>
      <c r="C46" s="2" t="s">
        <v>12</v>
      </c>
      <c r="D46" s="2">
        <v>884</v>
      </c>
      <c r="E46" s="2">
        <v>1662171</v>
      </c>
      <c r="F46" s="2" t="s">
        <v>4</v>
      </c>
      <c r="G46" s="5">
        <v>45589</v>
      </c>
      <c r="H46" s="9">
        <f>WEEKNUM(G46,2)</f>
        <v>43</v>
      </c>
      <c r="I46" s="2">
        <f>IF(F46="Thành công", E46-D46, 0)</f>
        <v>1661287</v>
      </c>
    </row>
    <row r="47" spans="1:9" ht="14.25" customHeight="1" x14ac:dyDescent="0.3">
      <c r="A47" s="2" t="s">
        <v>68</v>
      </c>
      <c r="B47" s="2" t="s">
        <v>42</v>
      </c>
      <c r="C47" s="2" t="s">
        <v>23</v>
      </c>
      <c r="D47" s="2">
        <v>160671</v>
      </c>
      <c r="E47" s="2">
        <v>501263</v>
      </c>
      <c r="F47" s="2" t="s">
        <v>4</v>
      </c>
      <c r="G47" s="3">
        <v>45394</v>
      </c>
      <c r="H47" s="9">
        <f>WEEKNUM(G47,2)</f>
        <v>15</v>
      </c>
      <c r="I47" s="2">
        <f>IF(F47="Thành công", E47-D47, 0)</f>
        <v>340592</v>
      </c>
    </row>
    <row r="48" spans="1:9" ht="14.25" customHeight="1" x14ac:dyDescent="0.3">
      <c r="A48" s="2" t="s">
        <v>69</v>
      </c>
      <c r="B48" s="2" t="s">
        <v>17</v>
      </c>
      <c r="C48" s="2" t="s">
        <v>35</v>
      </c>
      <c r="D48" s="2">
        <v>44589</v>
      </c>
      <c r="E48" s="2">
        <v>0</v>
      </c>
      <c r="F48" s="2" t="s">
        <v>5</v>
      </c>
      <c r="G48" s="3">
        <v>45638</v>
      </c>
      <c r="H48" s="9">
        <f>WEEKNUM(G48,2)</f>
        <v>50</v>
      </c>
      <c r="I48" s="2">
        <f>IF(F48="Thành công", E48-D48, 0)</f>
        <v>0</v>
      </c>
    </row>
    <row r="49" spans="1:9" ht="14.25" customHeight="1" x14ac:dyDescent="0.3">
      <c r="A49" s="2" t="s">
        <v>70</v>
      </c>
      <c r="B49" s="2" t="s">
        <v>22</v>
      </c>
      <c r="C49" s="2" t="s">
        <v>8</v>
      </c>
      <c r="D49" s="2">
        <v>99973</v>
      </c>
      <c r="E49" s="2">
        <v>0</v>
      </c>
      <c r="F49" s="2" t="s">
        <v>5</v>
      </c>
      <c r="G49" s="5">
        <v>45649</v>
      </c>
      <c r="H49" s="9">
        <f>WEEKNUM(G49,2)</f>
        <v>52</v>
      </c>
      <c r="I49" s="2">
        <f>IF(F49="Thành công", E49-D49, 0)</f>
        <v>0</v>
      </c>
    </row>
    <row r="50" spans="1:9" ht="14.25" customHeight="1" x14ac:dyDescent="0.3">
      <c r="A50" s="2" t="s">
        <v>71</v>
      </c>
      <c r="B50" s="2" t="s">
        <v>29</v>
      </c>
      <c r="C50" s="2" t="s">
        <v>20</v>
      </c>
      <c r="D50" s="2">
        <v>112655</v>
      </c>
      <c r="E50" s="2">
        <v>0</v>
      </c>
      <c r="F50" s="2" t="s">
        <v>5</v>
      </c>
      <c r="G50" s="5">
        <v>45649</v>
      </c>
      <c r="H50" s="9">
        <f>WEEKNUM(G50,2)</f>
        <v>52</v>
      </c>
      <c r="I50" s="2">
        <f>IF(F50="Thành công", E50-D50, 0)</f>
        <v>0</v>
      </c>
    </row>
    <row r="51" spans="1:9" ht="14.25" customHeight="1" x14ac:dyDescent="0.3">
      <c r="A51" s="2" t="s">
        <v>72</v>
      </c>
      <c r="B51" s="2" t="s">
        <v>46</v>
      </c>
      <c r="C51" s="2" t="s">
        <v>20</v>
      </c>
      <c r="D51" s="2">
        <v>53743</v>
      </c>
      <c r="E51" s="2">
        <v>1543749</v>
      </c>
      <c r="F51" s="2" t="s">
        <v>4</v>
      </c>
      <c r="G51" s="3">
        <v>45606</v>
      </c>
      <c r="H51" s="9">
        <f>WEEKNUM(G51,2)</f>
        <v>45</v>
      </c>
      <c r="I51" s="2">
        <f>IF(F51="Thành công", E51-D51, 0)</f>
        <v>1490006</v>
      </c>
    </row>
    <row r="52" spans="1:9" ht="14.25" customHeight="1" x14ac:dyDescent="0.3">
      <c r="A52" s="2" t="s">
        <v>73</v>
      </c>
      <c r="B52" s="2" t="s">
        <v>22</v>
      </c>
      <c r="C52" s="2" t="s">
        <v>74</v>
      </c>
      <c r="D52" s="2">
        <v>17838</v>
      </c>
      <c r="E52" s="2">
        <v>955113</v>
      </c>
      <c r="F52" s="2" t="s">
        <v>4</v>
      </c>
      <c r="G52" s="3">
        <v>45361</v>
      </c>
      <c r="H52" s="9">
        <f>WEEKNUM(G52,2)</f>
        <v>10</v>
      </c>
      <c r="I52" s="2">
        <f>IF(F52="Thành công", E52-D52, 0)</f>
        <v>937275</v>
      </c>
    </row>
    <row r="53" spans="1:9" ht="14.25" customHeight="1" x14ac:dyDescent="0.3">
      <c r="A53" s="2" t="s">
        <v>75</v>
      </c>
      <c r="B53" s="2" t="s">
        <v>29</v>
      </c>
      <c r="C53" s="2" t="s">
        <v>8</v>
      </c>
      <c r="D53" s="2">
        <v>136783</v>
      </c>
      <c r="E53" s="2">
        <v>0</v>
      </c>
      <c r="F53" s="2" t="s">
        <v>5</v>
      </c>
      <c r="G53" s="3">
        <v>45606</v>
      </c>
      <c r="H53" s="9">
        <f>WEEKNUM(G53,2)</f>
        <v>45</v>
      </c>
      <c r="I53" s="2">
        <f>IF(F53="Thành công", E53-D53, 0)</f>
        <v>0</v>
      </c>
    </row>
    <row r="54" spans="1:9" ht="14.25" customHeight="1" x14ac:dyDescent="0.3">
      <c r="A54" s="2" t="s">
        <v>76</v>
      </c>
      <c r="B54" s="2" t="s">
        <v>25</v>
      </c>
      <c r="C54" s="2" t="s">
        <v>35</v>
      </c>
      <c r="D54" s="2">
        <v>62458</v>
      </c>
      <c r="E54" s="2">
        <v>1884887</v>
      </c>
      <c r="F54" s="2" t="s">
        <v>4</v>
      </c>
      <c r="G54" s="5">
        <v>45621</v>
      </c>
      <c r="H54" s="9">
        <f>WEEKNUM(G54,2)</f>
        <v>48</v>
      </c>
      <c r="I54" s="2">
        <f>IF(F54="Thành công", E54-D54, 0)</f>
        <v>1822429</v>
      </c>
    </row>
    <row r="55" spans="1:9" ht="14.25" customHeight="1" x14ac:dyDescent="0.3">
      <c r="A55" s="2" t="s">
        <v>77</v>
      </c>
      <c r="B55" s="2" t="s">
        <v>46</v>
      </c>
      <c r="C55" s="2" t="s">
        <v>20</v>
      </c>
      <c r="D55" s="2">
        <v>126243</v>
      </c>
      <c r="E55" s="2">
        <v>318224</v>
      </c>
      <c r="F55" s="2" t="s">
        <v>4</v>
      </c>
      <c r="G55" s="3">
        <v>45545</v>
      </c>
      <c r="H55" s="9">
        <f>WEEKNUM(G55,2)</f>
        <v>37</v>
      </c>
      <c r="I55" s="2">
        <f>IF(F55="Thành công", E55-D55, 0)</f>
        <v>191981</v>
      </c>
    </row>
    <row r="56" spans="1:9" ht="14.25" customHeight="1" x14ac:dyDescent="0.3">
      <c r="A56" s="2" t="s">
        <v>78</v>
      </c>
      <c r="B56" s="2" t="s">
        <v>10</v>
      </c>
      <c r="C56" s="2" t="s">
        <v>20</v>
      </c>
      <c r="D56" s="2">
        <v>6333</v>
      </c>
      <c r="E56" s="2">
        <v>1729898</v>
      </c>
      <c r="F56" s="2" t="s">
        <v>4</v>
      </c>
      <c r="G56" s="3">
        <v>45332</v>
      </c>
      <c r="H56" s="9">
        <f>WEEKNUM(G56,2)</f>
        <v>6</v>
      </c>
      <c r="I56" s="2">
        <f>IF(F56="Thành công", E56-D56, 0)</f>
        <v>1723565</v>
      </c>
    </row>
    <row r="57" spans="1:9" ht="14.25" customHeight="1" x14ac:dyDescent="0.3">
      <c r="A57" s="2" t="s">
        <v>79</v>
      </c>
      <c r="B57" s="2" t="s">
        <v>29</v>
      </c>
      <c r="C57" s="2" t="s">
        <v>18</v>
      </c>
      <c r="D57" s="2">
        <v>58461</v>
      </c>
      <c r="E57" s="2">
        <v>0</v>
      </c>
      <c r="F57" s="2" t="s">
        <v>5</v>
      </c>
      <c r="G57" s="5">
        <v>45624</v>
      </c>
      <c r="H57" s="9">
        <f>WEEKNUM(G57,2)</f>
        <v>48</v>
      </c>
      <c r="I57" s="2">
        <f>IF(F57="Thành công", E57-D57, 0)</f>
        <v>0</v>
      </c>
    </row>
    <row r="58" spans="1:9" ht="14.25" customHeight="1" x14ac:dyDescent="0.3">
      <c r="A58" s="2" t="s">
        <v>80</v>
      </c>
      <c r="B58" s="2" t="s">
        <v>14</v>
      </c>
      <c r="C58" s="2" t="s">
        <v>12</v>
      </c>
      <c r="D58" s="2">
        <v>28649</v>
      </c>
      <c r="E58" s="2">
        <v>524848</v>
      </c>
      <c r="F58" s="2" t="s">
        <v>4</v>
      </c>
      <c r="G58" s="3">
        <v>45545</v>
      </c>
      <c r="H58" s="9">
        <f>WEEKNUM(G58,2)</f>
        <v>37</v>
      </c>
      <c r="I58" s="2">
        <f>IF(F58="Thành công", E58-D58, 0)</f>
        <v>496199</v>
      </c>
    </row>
    <row r="59" spans="1:9" ht="14.25" customHeight="1" x14ac:dyDescent="0.3">
      <c r="A59" s="2" t="s">
        <v>81</v>
      </c>
      <c r="B59" s="2" t="s">
        <v>29</v>
      </c>
      <c r="C59" s="2" t="s">
        <v>31</v>
      </c>
      <c r="D59" s="2">
        <v>4933</v>
      </c>
      <c r="E59" s="2">
        <v>0</v>
      </c>
      <c r="F59" s="2" t="s">
        <v>5</v>
      </c>
      <c r="G59" s="5">
        <v>45582</v>
      </c>
      <c r="H59" s="9">
        <f>WEEKNUM(G59,2)</f>
        <v>42</v>
      </c>
      <c r="I59" s="2">
        <f>IF(F59="Thành công", E59-D59, 0)</f>
        <v>0</v>
      </c>
    </row>
    <row r="60" spans="1:9" ht="14.25" customHeight="1" x14ac:dyDescent="0.3">
      <c r="A60" s="2" t="s">
        <v>82</v>
      </c>
      <c r="B60" s="2" t="s">
        <v>27</v>
      </c>
      <c r="C60" s="2" t="s">
        <v>18</v>
      </c>
      <c r="D60" s="2">
        <v>80219</v>
      </c>
      <c r="E60" s="2">
        <v>862604</v>
      </c>
      <c r="F60" s="2" t="s">
        <v>4</v>
      </c>
      <c r="G60" s="5">
        <v>45646</v>
      </c>
      <c r="H60" s="9">
        <f>WEEKNUM(G60,2)</f>
        <v>51</v>
      </c>
      <c r="I60" s="2">
        <f>IF(F60="Thành công", E60-D60, 0)</f>
        <v>782385</v>
      </c>
    </row>
    <row r="61" spans="1:9" ht="14.25" customHeight="1" x14ac:dyDescent="0.3">
      <c r="A61" s="2" t="s">
        <v>83</v>
      </c>
      <c r="B61" s="2" t="s">
        <v>27</v>
      </c>
      <c r="C61" s="2" t="s">
        <v>23</v>
      </c>
      <c r="D61" s="2">
        <v>110645</v>
      </c>
      <c r="E61" s="2">
        <v>1137479</v>
      </c>
      <c r="F61" s="2" t="s">
        <v>4</v>
      </c>
      <c r="G61" s="3">
        <v>45334</v>
      </c>
      <c r="H61" s="9">
        <f>WEEKNUM(G61,2)</f>
        <v>7</v>
      </c>
      <c r="I61" s="2">
        <f>IF(F61="Thành công", E61-D61, 0)</f>
        <v>1026834</v>
      </c>
    </row>
    <row r="62" spans="1:9" ht="14.25" customHeight="1" x14ac:dyDescent="0.3">
      <c r="A62" s="2" t="s">
        <v>84</v>
      </c>
      <c r="B62" s="2" t="s">
        <v>46</v>
      </c>
      <c r="C62" s="2" t="s">
        <v>35</v>
      </c>
      <c r="D62" s="2">
        <v>85682</v>
      </c>
      <c r="E62" s="2">
        <v>1124647</v>
      </c>
      <c r="F62" s="2" t="s">
        <v>4</v>
      </c>
      <c r="G62" s="5">
        <v>45588</v>
      </c>
      <c r="H62" s="9">
        <f>WEEKNUM(G62,2)</f>
        <v>43</v>
      </c>
      <c r="I62" s="2">
        <f>IF(F62="Thành công", E62-D62, 0)</f>
        <v>1038965</v>
      </c>
    </row>
    <row r="63" spans="1:9" ht="14.25" customHeight="1" x14ac:dyDescent="0.3">
      <c r="A63" s="2" t="s">
        <v>85</v>
      </c>
      <c r="B63" s="2" t="s">
        <v>10</v>
      </c>
      <c r="C63" s="2" t="s">
        <v>8</v>
      </c>
      <c r="D63" s="2">
        <v>40279</v>
      </c>
      <c r="E63" s="2">
        <v>852393</v>
      </c>
      <c r="F63" s="2" t="s">
        <v>4</v>
      </c>
      <c r="G63" s="5">
        <v>45588</v>
      </c>
      <c r="H63" s="9">
        <f>WEEKNUM(G63,2)</f>
        <v>43</v>
      </c>
      <c r="I63" s="2">
        <f>IF(F63="Thành công", E63-D63, 0)</f>
        <v>812114</v>
      </c>
    </row>
    <row r="64" spans="1:9" ht="14.25" customHeight="1" x14ac:dyDescent="0.3">
      <c r="A64" s="2" t="s">
        <v>86</v>
      </c>
      <c r="B64" s="2" t="s">
        <v>7</v>
      </c>
      <c r="C64" s="2" t="s">
        <v>35</v>
      </c>
      <c r="D64" s="2">
        <v>63335</v>
      </c>
      <c r="E64" s="2">
        <v>861484</v>
      </c>
      <c r="F64" s="2" t="s">
        <v>4</v>
      </c>
      <c r="G64" s="3">
        <v>45333</v>
      </c>
      <c r="H64" s="9">
        <f>WEEKNUM(G64,2)</f>
        <v>6</v>
      </c>
      <c r="I64" s="2">
        <f>IF(F64="Thành công", E64-D64, 0)</f>
        <v>798149</v>
      </c>
    </row>
    <row r="65" spans="1:9" ht="14.25" customHeight="1" x14ac:dyDescent="0.3">
      <c r="A65" s="2" t="s">
        <v>87</v>
      </c>
      <c r="B65" s="2" t="s">
        <v>7</v>
      </c>
      <c r="C65" s="2" t="s">
        <v>23</v>
      </c>
      <c r="D65" s="2">
        <v>131933</v>
      </c>
      <c r="E65" s="2">
        <v>629171</v>
      </c>
      <c r="F65" s="2" t="s">
        <v>4</v>
      </c>
      <c r="G65" s="5">
        <v>45640</v>
      </c>
      <c r="H65" s="9">
        <f>WEEKNUM(G65,2)</f>
        <v>50</v>
      </c>
      <c r="I65" s="2">
        <f>IF(F65="Thành công", E65-D65, 0)</f>
        <v>497238</v>
      </c>
    </row>
    <row r="66" spans="1:9" ht="14.25" customHeight="1" x14ac:dyDescent="0.3">
      <c r="A66" s="2" t="s">
        <v>88</v>
      </c>
      <c r="B66" s="2" t="s">
        <v>46</v>
      </c>
      <c r="C66" s="2" t="s">
        <v>74</v>
      </c>
      <c r="D66" s="2">
        <v>14704</v>
      </c>
      <c r="E66" s="2">
        <v>1594757</v>
      </c>
      <c r="F66" s="2" t="s">
        <v>4</v>
      </c>
      <c r="G66" s="3">
        <v>45422</v>
      </c>
      <c r="H66" s="9">
        <f>WEEKNUM(G66,2)</f>
        <v>19</v>
      </c>
      <c r="I66" s="2">
        <f>IF(F66="Thành công", E66-D66, 0)</f>
        <v>1580053</v>
      </c>
    </row>
    <row r="67" spans="1:9" ht="14.25" customHeight="1" x14ac:dyDescent="0.3">
      <c r="A67" s="2" t="s">
        <v>89</v>
      </c>
      <c r="B67" s="2" t="s">
        <v>22</v>
      </c>
      <c r="C67" s="2" t="s">
        <v>12</v>
      </c>
      <c r="D67" s="2">
        <v>10225</v>
      </c>
      <c r="E67" s="2">
        <v>0</v>
      </c>
      <c r="F67" s="2" t="s">
        <v>5</v>
      </c>
      <c r="G67" s="5">
        <v>45582</v>
      </c>
      <c r="H67" s="9">
        <f>WEEKNUM(G67,2)</f>
        <v>42</v>
      </c>
      <c r="I67" s="2">
        <f>IF(F67="Thành công", E67-D67, 0)</f>
        <v>0</v>
      </c>
    </row>
    <row r="68" spans="1:9" ht="14.25" customHeight="1" x14ac:dyDescent="0.3">
      <c r="A68" s="2" t="s">
        <v>90</v>
      </c>
      <c r="B68" s="2" t="s">
        <v>7</v>
      </c>
      <c r="C68" s="2" t="s">
        <v>8</v>
      </c>
      <c r="D68" s="2">
        <v>123825</v>
      </c>
      <c r="E68" s="2">
        <v>868461</v>
      </c>
      <c r="F68" s="2" t="s">
        <v>4</v>
      </c>
      <c r="G68" s="5">
        <v>45583</v>
      </c>
      <c r="H68" s="9">
        <f>WEEKNUM(G68,2)</f>
        <v>42</v>
      </c>
      <c r="I68" s="2">
        <f>IF(F68="Thành công", E68-D68, 0)</f>
        <v>744636</v>
      </c>
    </row>
    <row r="69" spans="1:9" ht="14.25" customHeight="1" x14ac:dyDescent="0.3">
      <c r="A69" s="2" t="s">
        <v>91</v>
      </c>
      <c r="B69" s="2" t="s">
        <v>46</v>
      </c>
      <c r="C69" s="2" t="s">
        <v>8</v>
      </c>
      <c r="D69" s="2">
        <v>145799</v>
      </c>
      <c r="E69" s="2">
        <v>793863</v>
      </c>
      <c r="F69" s="2" t="s">
        <v>4</v>
      </c>
      <c r="G69" s="5">
        <v>45646</v>
      </c>
      <c r="H69" s="9">
        <f>WEEKNUM(G69,2)</f>
        <v>51</v>
      </c>
      <c r="I69" s="2">
        <f>IF(F69="Thành công", E69-D69, 0)</f>
        <v>648064</v>
      </c>
    </row>
    <row r="70" spans="1:9" ht="14.25" customHeight="1" x14ac:dyDescent="0.3">
      <c r="A70" s="2" t="s">
        <v>92</v>
      </c>
      <c r="B70" s="2" t="s">
        <v>17</v>
      </c>
      <c r="C70" s="2" t="s">
        <v>8</v>
      </c>
      <c r="D70" s="2">
        <v>35321</v>
      </c>
      <c r="E70" s="2">
        <v>1628834</v>
      </c>
      <c r="F70" s="2" t="s">
        <v>4</v>
      </c>
      <c r="G70" s="3">
        <v>45484</v>
      </c>
      <c r="H70" s="9">
        <f>WEEKNUM(G70,2)</f>
        <v>28</v>
      </c>
      <c r="I70" s="2">
        <f>IF(F70="Thành công", E70-D70, 0)</f>
        <v>1593513</v>
      </c>
    </row>
    <row r="71" spans="1:9" ht="14.25" customHeight="1" x14ac:dyDescent="0.3">
      <c r="A71" s="2" t="s">
        <v>93</v>
      </c>
      <c r="B71" s="2" t="s">
        <v>17</v>
      </c>
      <c r="C71" s="2" t="s">
        <v>35</v>
      </c>
      <c r="D71" s="2">
        <v>29282</v>
      </c>
      <c r="E71" s="2">
        <v>1492638</v>
      </c>
      <c r="F71" s="2" t="s">
        <v>4</v>
      </c>
      <c r="G71" s="5">
        <v>45615</v>
      </c>
      <c r="H71" s="9">
        <f>WEEKNUM(G71,2)</f>
        <v>47</v>
      </c>
      <c r="I71" s="2">
        <f>IF(F71="Thành công", E71-D71, 0)</f>
        <v>1463356</v>
      </c>
    </row>
    <row r="72" spans="1:9" ht="14.25" customHeight="1" x14ac:dyDescent="0.3">
      <c r="A72" s="2" t="s">
        <v>94</v>
      </c>
      <c r="B72" s="2" t="s">
        <v>14</v>
      </c>
      <c r="C72" s="2" t="s">
        <v>8</v>
      </c>
      <c r="D72" s="2">
        <v>144606</v>
      </c>
      <c r="E72" s="2">
        <v>490364</v>
      </c>
      <c r="F72" s="2" t="s">
        <v>4</v>
      </c>
      <c r="G72" s="3">
        <v>45333</v>
      </c>
      <c r="H72" s="9">
        <f>WEEKNUM(G72,2)</f>
        <v>6</v>
      </c>
      <c r="I72" s="2">
        <f>IF(F72="Thành công", E72-D72, 0)</f>
        <v>345758</v>
      </c>
    </row>
    <row r="73" spans="1:9" ht="14.25" customHeight="1" x14ac:dyDescent="0.3">
      <c r="A73" s="2" t="s">
        <v>95</v>
      </c>
      <c r="B73" s="2" t="s">
        <v>10</v>
      </c>
      <c r="C73" s="2" t="s">
        <v>31</v>
      </c>
      <c r="D73" s="2">
        <v>8082</v>
      </c>
      <c r="E73" s="2">
        <v>239440</v>
      </c>
      <c r="F73" s="2" t="s">
        <v>4</v>
      </c>
      <c r="G73" s="5">
        <v>45592</v>
      </c>
      <c r="H73" s="9">
        <f>WEEKNUM(G73,2)</f>
        <v>43</v>
      </c>
      <c r="I73" s="2">
        <f>IF(F73="Thành công", E73-D73, 0)</f>
        <v>231358</v>
      </c>
    </row>
    <row r="74" spans="1:9" ht="14.25" customHeight="1" x14ac:dyDescent="0.3">
      <c r="A74" s="2" t="s">
        <v>96</v>
      </c>
      <c r="B74" s="2" t="s">
        <v>22</v>
      </c>
      <c r="C74" s="2" t="s">
        <v>31</v>
      </c>
      <c r="D74" s="2">
        <v>68511</v>
      </c>
      <c r="E74" s="2">
        <v>1477550</v>
      </c>
      <c r="F74" s="2" t="s">
        <v>4</v>
      </c>
      <c r="G74" s="3">
        <v>45332</v>
      </c>
      <c r="H74" s="9">
        <f>WEEKNUM(G74,2)</f>
        <v>6</v>
      </c>
      <c r="I74" s="2">
        <f>IF(F74="Thành công", E74-D74, 0)</f>
        <v>1409039</v>
      </c>
    </row>
    <row r="75" spans="1:9" ht="14.25" customHeight="1" x14ac:dyDescent="0.3">
      <c r="A75" s="2" t="s">
        <v>97</v>
      </c>
      <c r="B75" s="2" t="s">
        <v>25</v>
      </c>
      <c r="C75" s="2" t="s">
        <v>35</v>
      </c>
      <c r="D75" s="2">
        <v>38104</v>
      </c>
      <c r="E75" s="2">
        <v>1921763</v>
      </c>
      <c r="F75" s="2" t="s">
        <v>4</v>
      </c>
      <c r="G75" s="5">
        <v>45654</v>
      </c>
      <c r="H75" s="9">
        <f>WEEKNUM(G75,2)</f>
        <v>52</v>
      </c>
      <c r="I75" s="2">
        <f>IF(F75="Thành công", E75-D75, 0)</f>
        <v>1883659</v>
      </c>
    </row>
    <row r="76" spans="1:9" ht="14.25" customHeight="1" x14ac:dyDescent="0.3">
      <c r="A76" s="2" t="s">
        <v>98</v>
      </c>
      <c r="B76" s="2" t="s">
        <v>29</v>
      </c>
      <c r="C76" s="2" t="s">
        <v>35</v>
      </c>
      <c r="D76" s="2">
        <v>37481</v>
      </c>
      <c r="E76" s="2">
        <v>0</v>
      </c>
      <c r="F76" s="2" t="s">
        <v>5</v>
      </c>
      <c r="G76" s="3">
        <v>45455</v>
      </c>
      <c r="H76" s="9">
        <f>WEEKNUM(G76,2)</f>
        <v>24</v>
      </c>
      <c r="I76" s="2">
        <f>IF(F76="Thành công", E76-D76, 0)</f>
        <v>0</v>
      </c>
    </row>
    <row r="77" spans="1:9" ht="14.25" customHeight="1" x14ac:dyDescent="0.3">
      <c r="A77" s="2" t="s">
        <v>99</v>
      </c>
      <c r="B77" s="2" t="s">
        <v>22</v>
      </c>
      <c r="C77" s="2" t="s">
        <v>18</v>
      </c>
      <c r="D77" s="2">
        <v>55584</v>
      </c>
      <c r="E77" s="2">
        <v>0</v>
      </c>
      <c r="F77" s="2" t="s">
        <v>5</v>
      </c>
      <c r="G77" s="5">
        <v>45586</v>
      </c>
      <c r="H77" s="9">
        <f>WEEKNUM(G77,2)</f>
        <v>43</v>
      </c>
      <c r="I77" s="2">
        <f>IF(F77="Thành công", E77-D77, 0)</f>
        <v>0</v>
      </c>
    </row>
    <row r="78" spans="1:9" ht="14.25" customHeight="1" x14ac:dyDescent="0.3">
      <c r="A78" s="2" t="s">
        <v>100</v>
      </c>
      <c r="B78" s="2" t="s">
        <v>14</v>
      </c>
      <c r="C78" s="2" t="s">
        <v>35</v>
      </c>
      <c r="D78" s="2">
        <v>63897</v>
      </c>
      <c r="E78" s="2">
        <v>0</v>
      </c>
      <c r="F78" s="2" t="s">
        <v>5</v>
      </c>
      <c r="G78" s="3">
        <v>45302</v>
      </c>
      <c r="H78" s="9">
        <f>WEEKNUM(G78,2)</f>
        <v>2</v>
      </c>
      <c r="I78" s="2">
        <f>IF(F78="Thành công", E78-D78, 0)</f>
        <v>0</v>
      </c>
    </row>
    <row r="79" spans="1:9" ht="14.25" customHeight="1" x14ac:dyDescent="0.3">
      <c r="A79" s="2" t="s">
        <v>101</v>
      </c>
      <c r="B79" s="2" t="s">
        <v>14</v>
      </c>
      <c r="C79" s="2" t="s">
        <v>20</v>
      </c>
      <c r="D79" s="2">
        <v>128951</v>
      </c>
      <c r="E79" s="2">
        <v>1536302</v>
      </c>
      <c r="F79" s="2" t="s">
        <v>4</v>
      </c>
      <c r="G79" s="3">
        <v>45422</v>
      </c>
      <c r="H79" s="9">
        <f>WEEKNUM(G79,2)</f>
        <v>19</v>
      </c>
      <c r="I79" s="2">
        <f>IF(F79="Thành công", E79-D79, 0)</f>
        <v>1407351</v>
      </c>
    </row>
    <row r="80" spans="1:9" ht="14.25" customHeight="1" x14ac:dyDescent="0.3">
      <c r="A80" s="2" t="s">
        <v>102</v>
      </c>
      <c r="B80" s="2" t="s">
        <v>14</v>
      </c>
      <c r="C80" s="2" t="s">
        <v>8</v>
      </c>
      <c r="D80" s="2">
        <v>45618</v>
      </c>
      <c r="E80" s="2">
        <v>1896831</v>
      </c>
      <c r="F80" s="2" t="s">
        <v>4</v>
      </c>
      <c r="G80" s="5">
        <v>45596</v>
      </c>
      <c r="H80" s="9">
        <f>WEEKNUM(G80,2)</f>
        <v>44</v>
      </c>
      <c r="I80" s="2">
        <f>IF(F80="Thành công", E80-D80, 0)</f>
        <v>1851213</v>
      </c>
    </row>
    <row r="81" spans="1:9" ht="14.25" customHeight="1" x14ac:dyDescent="0.3">
      <c r="A81" s="2" t="s">
        <v>103</v>
      </c>
      <c r="B81" s="2" t="s">
        <v>42</v>
      </c>
      <c r="C81" s="2" t="s">
        <v>8</v>
      </c>
      <c r="D81" s="2">
        <v>66337</v>
      </c>
      <c r="E81" s="2">
        <v>1400771</v>
      </c>
      <c r="F81" s="2" t="s">
        <v>4</v>
      </c>
      <c r="G81" s="3">
        <v>45484</v>
      </c>
      <c r="H81" s="9">
        <f>WEEKNUM(G81,2)</f>
        <v>28</v>
      </c>
      <c r="I81" s="2">
        <f>IF(F81="Thành công", E81-D81, 0)</f>
        <v>1334434</v>
      </c>
    </row>
    <row r="82" spans="1:9" ht="14.25" customHeight="1" x14ac:dyDescent="0.3">
      <c r="A82" s="2" t="s">
        <v>104</v>
      </c>
      <c r="B82" s="2" t="s">
        <v>46</v>
      </c>
      <c r="C82" s="2" t="s">
        <v>35</v>
      </c>
      <c r="D82" s="2">
        <v>6422</v>
      </c>
      <c r="E82" s="2">
        <v>955691</v>
      </c>
      <c r="F82" s="2" t="s">
        <v>4</v>
      </c>
      <c r="G82" s="3">
        <v>45423</v>
      </c>
      <c r="H82" s="9">
        <f>WEEKNUM(G82,2)</f>
        <v>19</v>
      </c>
      <c r="I82" s="2">
        <f>IF(F82="Thành công", E82-D82, 0)</f>
        <v>949269</v>
      </c>
    </row>
    <row r="83" spans="1:9" ht="14.25" customHeight="1" x14ac:dyDescent="0.3">
      <c r="A83" s="2" t="s">
        <v>105</v>
      </c>
      <c r="B83" s="2" t="s">
        <v>10</v>
      </c>
      <c r="C83" s="2" t="s">
        <v>35</v>
      </c>
      <c r="D83" s="2">
        <v>98625</v>
      </c>
      <c r="E83" s="2">
        <v>285833</v>
      </c>
      <c r="F83" s="2" t="s">
        <v>4</v>
      </c>
      <c r="G83" s="5">
        <v>45610</v>
      </c>
      <c r="H83" s="9">
        <f>WEEKNUM(G83,2)</f>
        <v>46</v>
      </c>
      <c r="I83" s="2">
        <f>IF(F83="Thành công", E83-D83, 0)</f>
        <v>187208</v>
      </c>
    </row>
    <row r="84" spans="1:9" ht="14.25" customHeight="1" x14ac:dyDescent="0.3">
      <c r="A84" s="2" t="s">
        <v>106</v>
      </c>
      <c r="B84" s="2" t="s">
        <v>17</v>
      </c>
      <c r="C84" s="2" t="s">
        <v>23</v>
      </c>
      <c r="D84" s="2">
        <v>71331</v>
      </c>
      <c r="E84" s="2">
        <v>0</v>
      </c>
      <c r="F84" s="2" t="s">
        <v>5</v>
      </c>
      <c r="G84" s="3">
        <v>45362</v>
      </c>
      <c r="H84" s="9">
        <f>WEEKNUM(G84,2)</f>
        <v>11</v>
      </c>
      <c r="I84" s="2">
        <f>IF(F84="Thành công", E84-D84, 0)</f>
        <v>0</v>
      </c>
    </row>
    <row r="85" spans="1:9" ht="14.25" customHeight="1" x14ac:dyDescent="0.3">
      <c r="A85" s="2" t="s">
        <v>107</v>
      </c>
      <c r="B85" s="2" t="s">
        <v>22</v>
      </c>
      <c r="C85" s="2" t="s">
        <v>74</v>
      </c>
      <c r="D85" s="2">
        <v>18059</v>
      </c>
      <c r="E85" s="2">
        <v>202208</v>
      </c>
      <c r="F85" s="2" t="s">
        <v>4</v>
      </c>
      <c r="G85" s="5">
        <v>45623</v>
      </c>
      <c r="H85" s="9">
        <f>WEEKNUM(G85,2)</f>
        <v>48</v>
      </c>
      <c r="I85" s="2">
        <f>IF(F85="Thành công", E85-D85, 0)</f>
        <v>184149</v>
      </c>
    </row>
    <row r="86" spans="1:9" ht="14.25" customHeight="1" x14ac:dyDescent="0.3">
      <c r="A86" s="2" t="s">
        <v>108</v>
      </c>
      <c r="B86" s="2" t="s">
        <v>14</v>
      </c>
      <c r="C86" s="2" t="s">
        <v>35</v>
      </c>
      <c r="D86" s="2">
        <v>93129</v>
      </c>
      <c r="E86" s="2">
        <v>1391121</v>
      </c>
      <c r="F86" s="2" t="s">
        <v>4</v>
      </c>
      <c r="G86" s="5">
        <v>45583</v>
      </c>
      <c r="H86" s="9">
        <f>WEEKNUM(G86,2)</f>
        <v>42</v>
      </c>
      <c r="I86" s="2">
        <f>IF(F86="Thành công", E86-D86, 0)</f>
        <v>1297992</v>
      </c>
    </row>
    <row r="87" spans="1:9" ht="14.25" customHeight="1" x14ac:dyDescent="0.3">
      <c r="A87" s="2" t="s">
        <v>109</v>
      </c>
      <c r="B87" s="2" t="s">
        <v>46</v>
      </c>
      <c r="C87" s="2" t="s">
        <v>74</v>
      </c>
      <c r="D87" s="2">
        <v>138</v>
      </c>
      <c r="E87" s="2">
        <v>282230</v>
      </c>
      <c r="F87" s="2" t="s">
        <v>4</v>
      </c>
      <c r="G87" s="5">
        <v>45587</v>
      </c>
      <c r="H87" s="9">
        <f>WEEKNUM(G87,2)</f>
        <v>43</v>
      </c>
      <c r="I87" s="2">
        <f>IF(F87="Thành công", E87-D87, 0)</f>
        <v>282092</v>
      </c>
    </row>
    <row r="88" spans="1:9" ht="14.25" customHeight="1" x14ac:dyDescent="0.3">
      <c r="A88" s="2" t="s">
        <v>110</v>
      </c>
      <c r="B88" s="2" t="s">
        <v>42</v>
      </c>
      <c r="C88" s="2" t="s">
        <v>74</v>
      </c>
      <c r="D88" s="2">
        <v>21161</v>
      </c>
      <c r="E88" s="2">
        <v>1074093</v>
      </c>
      <c r="F88" s="2" t="s">
        <v>4</v>
      </c>
      <c r="G88" s="3">
        <v>45607</v>
      </c>
      <c r="H88" s="9">
        <f>WEEKNUM(G88,2)</f>
        <v>46</v>
      </c>
      <c r="I88" s="2">
        <f>IF(F88="Thành công", E88-D88, 0)</f>
        <v>1052932</v>
      </c>
    </row>
    <row r="89" spans="1:9" ht="14.25" customHeight="1" x14ac:dyDescent="0.3">
      <c r="A89" s="2" t="s">
        <v>111</v>
      </c>
      <c r="B89" s="2" t="s">
        <v>46</v>
      </c>
      <c r="C89" s="2" t="s">
        <v>18</v>
      </c>
      <c r="D89" s="2">
        <v>148057</v>
      </c>
      <c r="E89" s="2">
        <v>0</v>
      </c>
      <c r="F89" s="2" t="s">
        <v>5</v>
      </c>
      <c r="G89" s="3">
        <v>45637</v>
      </c>
      <c r="H89" s="9">
        <f>WEEKNUM(G89,2)</f>
        <v>50</v>
      </c>
      <c r="I89" s="2">
        <f>IF(F89="Thành công", E89-D89, 0)</f>
        <v>0</v>
      </c>
    </row>
    <row r="90" spans="1:9" ht="14.25" customHeight="1" x14ac:dyDescent="0.3">
      <c r="A90" s="2" t="s">
        <v>112</v>
      </c>
      <c r="B90" s="2" t="s">
        <v>14</v>
      </c>
      <c r="C90" s="2" t="s">
        <v>20</v>
      </c>
      <c r="D90" s="2">
        <v>14847</v>
      </c>
      <c r="E90" s="2">
        <v>1345680</v>
      </c>
      <c r="F90" s="2" t="s">
        <v>4</v>
      </c>
      <c r="G90" s="5">
        <v>45584</v>
      </c>
      <c r="H90" s="9">
        <f>WEEKNUM(G90,2)</f>
        <v>42</v>
      </c>
      <c r="I90" s="2">
        <f>IF(F90="Thành công", E90-D90, 0)</f>
        <v>1330833</v>
      </c>
    </row>
    <row r="91" spans="1:9" ht="14.25" customHeight="1" x14ac:dyDescent="0.3">
      <c r="A91" s="2" t="s">
        <v>113</v>
      </c>
      <c r="B91" s="2" t="s">
        <v>46</v>
      </c>
      <c r="C91" s="2" t="s">
        <v>20</v>
      </c>
      <c r="D91" s="2">
        <v>112085</v>
      </c>
      <c r="E91" s="2">
        <v>1148538</v>
      </c>
      <c r="F91" s="2" t="s">
        <v>4</v>
      </c>
      <c r="G91" s="5">
        <v>45579</v>
      </c>
      <c r="H91" s="9">
        <f>WEEKNUM(G91,2)</f>
        <v>42</v>
      </c>
      <c r="I91" s="2">
        <f>IF(F91="Thành công", E91-D91, 0)</f>
        <v>1036453</v>
      </c>
    </row>
    <row r="92" spans="1:9" ht="14.25" customHeight="1" x14ac:dyDescent="0.3">
      <c r="A92" s="2" t="s">
        <v>114</v>
      </c>
      <c r="B92" s="2" t="s">
        <v>27</v>
      </c>
      <c r="C92" s="2" t="s">
        <v>31</v>
      </c>
      <c r="D92" s="2">
        <v>83883</v>
      </c>
      <c r="E92" s="2">
        <v>0</v>
      </c>
      <c r="F92" s="2" t="s">
        <v>5</v>
      </c>
      <c r="G92" s="3">
        <v>45483</v>
      </c>
      <c r="H92" s="9">
        <f>WEEKNUM(G92,2)</f>
        <v>28</v>
      </c>
      <c r="I92" s="2">
        <f>IF(F92="Thành công", E92-D92, 0)</f>
        <v>0</v>
      </c>
    </row>
    <row r="93" spans="1:9" ht="14.25" customHeight="1" x14ac:dyDescent="0.3">
      <c r="A93" s="2" t="s">
        <v>115</v>
      </c>
      <c r="B93" s="2" t="s">
        <v>7</v>
      </c>
      <c r="C93" s="2" t="s">
        <v>20</v>
      </c>
      <c r="D93" s="2">
        <v>34825</v>
      </c>
      <c r="E93" s="2">
        <v>1413655</v>
      </c>
      <c r="F93" s="2" t="s">
        <v>4</v>
      </c>
      <c r="G93" s="3">
        <v>45575</v>
      </c>
      <c r="H93" s="9">
        <f>WEEKNUM(G93,2)</f>
        <v>41</v>
      </c>
      <c r="I93" s="2">
        <f>IF(F93="Thành công", E93-D93, 0)</f>
        <v>1378830</v>
      </c>
    </row>
    <row r="94" spans="1:9" ht="14.25" customHeight="1" x14ac:dyDescent="0.3">
      <c r="A94" s="2" t="s">
        <v>116</v>
      </c>
      <c r="B94" s="2" t="s">
        <v>10</v>
      </c>
      <c r="C94" s="2" t="s">
        <v>8</v>
      </c>
      <c r="D94" s="2">
        <v>46713</v>
      </c>
      <c r="E94" s="2">
        <v>0</v>
      </c>
      <c r="F94" s="2" t="s">
        <v>5</v>
      </c>
      <c r="G94" s="3">
        <v>45303</v>
      </c>
      <c r="H94" s="9">
        <f>WEEKNUM(G94,2)</f>
        <v>2</v>
      </c>
      <c r="I94" s="2">
        <f>IF(F94="Thành công", E94-D94, 0)</f>
        <v>0</v>
      </c>
    </row>
    <row r="95" spans="1:9" ht="14.25" customHeight="1" x14ac:dyDescent="0.3">
      <c r="A95" s="2" t="s">
        <v>117</v>
      </c>
      <c r="B95" s="2" t="s">
        <v>25</v>
      </c>
      <c r="C95" s="2" t="s">
        <v>8</v>
      </c>
      <c r="D95" s="2">
        <v>112664</v>
      </c>
      <c r="E95" s="2">
        <v>0</v>
      </c>
      <c r="F95" s="2" t="s">
        <v>5</v>
      </c>
      <c r="G95" s="5">
        <v>45647</v>
      </c>
      <c r="H95" s="9">
        <f>WEEKNUM(G95,2)</f>
        <v>51</v>
      </c>
      <c r="I95" s="2">
        <f>IF(F95="Thành công", E95-D95, 0)</f>
        <v>0</v>
      </c>
    </row>
    <row r="96" spans="1:9" ht="14.25" customHeight="1" x14ac:dyDescent="0.3">
      <c r="A96" s="2" t="s">
        <v>118</v>
      </c>
      <c r="B96" s="2" t="s">
        <v>29</v>
      </c>
      <c r="C96" s="2" t="s">
        <v>35</v>
      </c>
      <c r="D96" s="2">
        <v>33832</v>
      </c>
      <c r="E96" s="2">
        <v>0</v>
      </c>
      <c r="F96" s="2" t="s">
        <v>5</v>
      </c>
      <c r="G96" s="5">
        <v>45623</v>
      </c>
      <c r="H96" s="9">
        <f>WEEKNUM(G96,2)</f>
        <v>48</v>
      </c>
      <c r="I96" s="2">
        <f>IF(F96="Thành công", E96-D96, 0)</f>
        <v>0</v>
      </c>
    </row>
    <row r="97" spans="1:9" ht="14.25" customHeight="1" x14ac:dyDescent="0.3">
      <c r="A97" s="2" t="s">
        <v>119</v>
      </c>
      <c r="B97" s="2" t="s">
        <v>29</v>
      </c>
      <c r="C97" s="2" t="s">
        <v>18</v>
      </c>
      <c r="D97" s="2">
        <v>135</v>
      </c>
      <c r="E97" s="2">
        <v>990274</v>
      </c>
      <c r="F97" s="2" t="s">
        <v>4</v>
      </c>
      <c r="G97" s="5">
        <v>45590</v>
      </c>
      <c r="H97" s="9">
        <f>WEEKNUM(G97,2)</f>
        <v>43</v>
      </c>
      <c r="I97" s="2">
        <f>IF(F97="Thành công", E97-D97, 0)</f>
        <v>990139</v>
      </c>
    </row>
    <row r="98" spans="1:9" ht="14.25" customHeight="1" x14ac:dyDescent="0.3">
      <c r="A98" s="2" t="s">
        <v>120</v>
      </c>
      <c r="B98" s="2" t="s">
        <v>46</v>
      </c>
      <c r="C98" s="2" t="s">
        <v>12</v>
      </c>
      <c r="D98" s="2">
        <v>8302</v>
      </c>
      <c r="E98" s="2">
        <v>1770352</v>
      </c>
      <c r="F98" s="2" t="s">
        <v>4</v>
      </c>
      <c r="G98" s="5">
        <v>45639</v>
      </c>
      <c r="H98" s="9">
        <f>WEEKNUM(G98,2)</f>
        <v>50</v>
      </c>
      <c r="I98" s="2">
        <f>IF(F98="Thành công", E98-D98, 0)</f>
        <v>1762050</v>
      </c>
    </row>
    <row r="99" spans="1:9" ht="14.25" customHeight="1" x14ac:dyDescent="0.3">
      <c r="A99" s="2" t="s">
        <v>121</v>
      </c>
      <c r="B99" s="2" t="s">
        <v>27</v>
      </c>
      <c r="C99" s="2" t="s">
        <v>12</v>
      </c>
      <c r="D99" s="2">
        <v>5638</v>
      </c>
      <c r="E99" s="2">
        <v>835303</v>
      </c>
      <c r="F99" s="2" t="s">
        <v>4</v>
      </c>
      <c r="G99" s="5">
        <v>45620</v>
      </c>
      <c r="H99" s="9">
        <f>WEEKNUM(G99,2)</f>
        <v>47</v>
      </c>
      <c r="I99" s="2">
        <f>IF(F99="Thành công", E99-D99, 0)</f>
        <v>829665</v>
      </c>
    </row>
    <row r="100" spans="1:9" ht="14.25" customHeight="1" x14ac:dyDescent="0.3">
      <c r="A100" s="2" t="s">
        <v>122</v>
      </c>
      <c r="B100" s="2" t="s">
        <v>42</v>
      </c>
      <c r="C100" s="2" t="s">
        <v>74</v>
      </c>
      <c r="D100" s="2">
        <v>1756</v>
      </c>
      <c r="E100" s="2">
        <v>361285</v>
      </c>
      <c r="F100" s="2" t="s">
        <v>4</v>
      </c>
      <c r="G100" s="5">
        <v>45656</v>
      </c>
      <c r="H100" s="9">
        <f>WEEKNUM(G100,2)</f>
        <v>53</v>
      </c>
      <c r="I100" s="2">
        <f>IF(F100="Thành công", E100-D100, 0)</f>
        <v>359529</v>
      </c>
    </row>
    <row r="101" spans="1:9" ht="14.25" customHeight="1" x14ac:dyDescent="0.3">
      <c r="A101" s="2" t="s">
        <v>123</v>
      </c>
      <c r="B101" s="2" t="s">
        <v>10</v>
      </c>
      <c r="C101" s="2" t="s">
        <v>20</v>
      </c>
      <c r="D101" s="2">
        <v>30003</v>
      </c>
      <c r="E101" s="2">
        <v>1446522</v>
      </c>
      <c r="F101" s="2" t="s">
        <v>4</v>
      </c>
      <c r="G101" s="5">
        <v>45639</v>
      </c>
      <c r="H101" s="9">
        <f>WEEKNUM(G101,2)</f>
        <v>50</v>
      </c>
      <c r="I101" s="2">
        <f>IF(F101="Thành công", E101-D101, 0)</f>
        <v>1416519</v>
      </c>
    </row>
    <row r="102" spans="1:9" ht="14.25" customHeight="1" x14ac:dyDescent="0.3">
      <c r="A102" s="2" t="s">
        <v>124</v>
      </c>
      <c r="B102" s="2" t="s">
        <v>29</v>
      </c>
      <c r="C102" s="2" t="s">
        <v>35</v>
      </c>
      <c r="D102" s="2">
        <v>72219</v>
      </c>
      <c r="E102" s="2">
        <v>764972</v>
      </c>
      <c r="F102" s="2" t="s">
        <v>4</v>
      </c>
      <c r="G102" s="3">
        <v>45637</v>
      </c>
      <c r="H102" s="9">
        <f>WEEKNUM(G102,2)</f>
        <v>50</v>
      </c>
      <c r="I102" s="2">
        <f>IF(F102="Thành công", E102-D102, 0)</f>
        <v>692753</v>
      </c>
    </row>
    <row r="103" spans="1:9" ht="14.25" customHeight="1" x14ac:dyDescent="0.3">
      <c r="A103" s="2" t="s">
        <v>125</v>
      </c>
      <c r="B103" s="2" t="s">
        <v>29</v>
      </c>
      <c r="C103" s="2" t="s">
        <v>35</v>
      </c>
      <c r="D103" s="2">
        <v>99126</v>
      </c>
      <c r="E103" s="2">
        <v>1883899</v>
      </c>
      <c r="F103" s="2" t="s">
        <v>4</v>
      </c>
      <c r="G103" s="5">
        <v>45640</v>
      </c>
      <c r="H103" s="9">
        <f>WEEKNUM(G103,2)</f>
        <v>50</v>
      </c>
      <c r="I103" s="2">
        <f>IF(F103="Thành công", E103-D103, 0)</f>
        <v>1784773</v>
      </c>
    </row>
    <row r="104" spans="1:9" ht="14.25" customHeight="1" x14ac:dyDescent="0.3">
      <c r="A104" s="2" t="s">
        <v>126</v>
      </c>
      <c r="B104" s="2" t="s">
        <v>14</v>
      </c>
      <c r="C104" s="2" t="s">
        <v>20</v>
      </c>
      <c r="D104" s="2">
        <v>132965</v>
      </c>
      <c r="E104" s="2">
        <v>1285621</v>
      </c>
      <c r="F104" s="2" t="s">
        <v>4</v>
      </c>
      <c r="G104" s="5">
        <v>45619</v>
      </c>
      <c r="H104" s="9">
        <f>WEEKNUM(G104,2)</f>
        <v>47</v>
      </c>
      <c r="I104" s="2">
        <f>IF(F104="Thành công", E104-D104, 0)</f>
        <v>1152656</v>
      </c>
    </row>
    <row r="105" spans="1:9" ht="14.25" customHeight="1" x14ac:dyDescent="0.3">
      <c r="A105" s="2" t="s">
        <v>127</v>
      </c>
      <c r="B105" s="2" t="s">
        <v>7</v>
      </c>
      <c r="C105" s="2" t="s">
        <v>18</v>
      </c>
      <c r="D105" s="2">
        <v>108781</v>
      </c>
      <c r="E105" s="2">
        <v>360818</v>
      </c>
      <c r="F105" s="2" t="s">
        <v>4</v>
      </c>
      <c r="G105" s="5">
        <v>45648</v>
      </c>
      <c r="H105" s="9">
        <f>WEEKNUM(G105,2)</f>
        <v>51</v>
      </c>
      <c r="I105" s="2">
        <f>IF(F105="Thành công", E105-D105, 0)</f>
        <v>252037</v>
      </c>
    </row>
    <row r="106" spans="1:9" ht="14.25" customHeight="1" x14ac:dyDescent="0.3">
      <c r="A106" s="2" t="s">
        <v>128</v>
      </c>
      <c r="B106" s="2" t="s">
        <v>42</v>
      </c>
      <c r="C106" s="2" t="s">
        <v>74</v>
      </c>
      <c r="D106" s="2">
        <v>23835</v>
      </c>
      <c r="E106" s="2">
        <v>1718464</v>
      </c>
      <c r="F106" s="2" t="s">
        <v>4</v>
      </c>
      <c r="G106" s="5">
        <v>45626</v>
      </c>
      <c r="H106" s="9">
        <f>WEEKNUM(G106,2)</f>
        <v>48</v>
      </c>
      <c r="I106" s="2">
        <f>IF(F106="Thành công", E106-D106, 0)</f>
        <v>1694629</v>
      </c>
    </row>
    <row r="107" spans="1:9" ht="14.25" customHeight="1" x14ac:dyDescent="0.3">
      <c r="A107" s="2" t="s">
        <v>129</v>
      </c>
      <c r="B107" s="2" t="s">
        <v>10</v>
      </c>
      <c r="C107" s="2" t="s">
        <v>20</v>
      </c>
      <c r="D107" s="2">
        <v>9309</v>
      </c>
      <c r="E107" s="2">
        <v>700434</v>
      </c>
      <c r="F107" s="2" t="s">
        <v>4</v>
      </c>
      <c r="G107" s="5">
        <v>45626</v>
      </c>
      <c r="H107" s="9">
        <f>WEEKNUM(G107,2)</f>
        <v>48</v>
      </c>
      <c r="I107" s="2">
        <f>IF(F107="Thành công", E107-D107, 0)</f>
        <v>691125</v>
      </c>
    </row>
    <row r="108" spans="1:9" ht="14.25" customHeight="1" x14ac:dyDescent="0.3">
      <c r="A108" s="2" t="s">
        <v>130</v>
      </c>
      <c r="B108" s="2" t="s">
        <v>17</v>
      </c>
      <c r="C108" s="2" t="s">
        <v>35</v>
      </c>
      <c r="D108" s="2">
        <v>21499</v>
      </c>
      <c r="E108" s="2">
        <v>1809914</v>
      </c>
      <c r="F108" s="2" t="s">
        <v>4</v>
      </c>
      <c r="G108" s="3">
        <v>45455</v>
      </c>
      <c r="H108" s="9">
        <f>WEEKNUM(G108,2)</f>
        <v>24</v>
      </c>
      <c r="I108" s="2">
        <f>IF(F108="Thành công", E108-D108, 0)</f>
        <v>1788415</v>
      </c>
    </row>
    <row r="109" spans="1:9" ht="14.25" customHeight="1" x14ac:dyDescent="0.3">
      <c r="A109" s="2" t="s">
        <v>131</v>
      </c>
      <c r="B109" s="2" t="s">
        <v>46</v>
      </c>
      <c r="C109" s="2" t="s">
        <v>35</v>
      </c>
      <c r="D109" s="2">
        <v>46817</v>
      </c>
      <c r="E109" s="2">
        <v>1280005</v>
      </c>
      <c r="F109" s="2" t="s">
        <v>4</v>
      </c>
      <c r="G109" s="5">
        <v>45651</v>
      </c>
      <c r="H109" s="9">
        <f>WEEKNUM(G109,2)</f>
        <v>52</v>
      </c>
      <c r="I109" s="2">
        <f>IF(F109="Thành công", E109-D109, 0)</f>
        <v>1233188</v>
      </c>
    </row>
    <row r="110" spans="1:9" ht="14.25" customHeight="1" x14ac:dyDescent="0.3">
      <c r="A110" s="2" t="s">
        <v>132</v>
      </c>
      <c r="B110" s="2" t="s">
        <v>17</v>
      </c>
      <c r="C110" s="2" t="s">
        <v>8</v>
      </c>
      <c r="D110" s="2">
        <v>127122</v>
      </c>
      <c r="E110" s="2">
        <v>1969583</v>
      </c>
      <c r="F110" s="2" t="s">
        <v>4</v>
      </c>
      <c r="G110" s="3">
        <v>45638</v>
      </c>
      <c r="H110" s="9">
        <f>WEEKNUM(G110,2)</f>
        <v>50</v>
      </c>
      <c r="I110" s="2">
        <f>IF(F110="Thành công", E110-D110, 0)</f>
        <v>1842461</v>
      </c>
    </row>
    <row r="111" spans="1:9" ht="14.25" customHeight="1" x14ac:dyDescent="0.3">
      <c r="A111" s="2" t="s">
        <v>133</v>
      </c>
      <c r="B111" s="2" t="s">
        <v>7</v>
      </c>
      <c r="C111" s="2" t="s">
        <v>18</v>
      </c>
      <c r="D111" s="2">
        <v>115111</v>
      </c>
      <c r="E111" s="2">
        <v>200078</v>
      </c>
      <c r="F111" s="2" t="s">
        <v>4</v>
      </c>
      <c r="G111" s="3">
        <v>45332</v>
      </c>
      <c r="H111" s="9">
        <f>WEEKNUM(G111,2)</f>
        <v>6</v>
      </c>
      <c r="I111" s="2">
        <f>IF(F111="Thành công", E111-D111, 0)</f>
        <v>84967</v>
      </c>
    </row>
    <row r="112" spans="1:9" ht="14.25" customHeight="1" x14ac:dyDescent="0.3">
      <c r="A112" s="2" t="s">
        <v>134</v>
      </c>
      <c r="B112" s="2" t="s">
        <v>25</v>
      </c>
      <c r="C112" s="2" t="s">
        <v>20</v>
      </c>
      <c r="D112" s="2">
        <v>139642</v>
      </c>
      <c r="E112" s="2">
        <v>615462</v>
      </c>
      <c r="F112" s="2" t="s">
        <v>4</v>
      </c>
      <c r="G112" s="5">
        <v>45651</v>
      </c>
      <c r="H112" s="9">
        <f>WEEKNUM(G112,2)</f>
        <v>52</v>
      </c>
      <c r="I112" s="2">
        <f>IF(F112="Thành công", E112-D112, 0)</f>
        <v>475820</v>
      </c>
    </row>
    <row r="113" spans="1:9" ht="14.25" customHeight="1" x14ac:dyDescent="0.3">
      <c r="A113" s="2" t="s">
        <v>135</v>
      </c>
      <c r="B113" s="2" t="s">
        <v>29</v>
      </c>
      <c r="C113" s="2" t="s">
        <v>31</v>
      </c>
      <c r="D113" s="2">
        <v>35539</v>
      </c>
      <c r="E113" s="2">
        <v>0</v>
      </c>
      <c r="F113" s="2" t="s">
        <v>5</v>
      </c>
      <c r="G113" s="5">
        <v>45642</v>
      </c>
      <c r="H113" s="9">
        <f>WEEKNUM(G113,2)</f>
        <v>51</v>
      </c>
      <c r="I113" s="2">
        <f>IF(F113="Thành công", E113-D113, 0)</f>
        <v>0</v>
      </c>
    </row>
    <row r="114" spans="1:9" ht="14.25" customHeight="1" x14ac:dyDescent="0.3">
      <c r="A114" s="2" t="s">
        <v>136</v>
      </c>
      <c r="B114" s="2" t="s">
        <v>17</v>
      </c>
      <c r="C114" s="2" t="s">
        <v>35</v>
      </c>
      <c r="D114" s="2">
        <v>33221</v>
      </c>
      <c r="E114" s="2">
        <v>707984</v>
      </c>
      <c r="F114" s="2" t="s">
        <v>4</v>
      </c>
      <c r="G114" s="3">
        <v>45575</v>
      </c>
      <c r="H114" s="9">
        <f>WEEKNUM(G114,2)</f>
        <v>41</v>
      </c>
      <c r="I114" s="2">
        <f>IF(F114="Thành công", E114-D114, 0)</f>
        <v>674763</v>
      </c>
    </row>
    <row r="115" spans="1:9" ht="14.25" customHeight="1" x14ac:dyDescent="0.3">
      <c r="A115" s="2" t="s">
        <v>137</v>
      </c>
      <c r="B115" s="2" t="s">
        <v>7</v>
      </c>
      <c r="C115" s="2" t="s">
        <v>18</v>
      </c>
      <c r="D115" s="2">
        <v>66568</v>
      </c>
      <c r="E115" s="2">
        <v>1309608</v>
      </c>
      <c r="F115" s="2" t="s">
        <v>4</v>
      </c>
      <c r="G115" s="5">
        <v>45585</v>
      </c>
      <c r="H115" s="9">
        <f>WEEKNUM(G115,2)</f>
        <v>42</v>
      </c>
      <c r="I115" s="2">
        <f>IF(F115="Thành công", E115-D115, 0)</f>
        <v>1243040</v>
      </c>
    </row>
    <row r="116" spans="1:9" ht="14.25" customHeight="1" x14ac:dyDescent="0.3">
      <c r="A116" s="2" t="s">
        <v>138</v>
      </c>
      <c r="B116" s="2" t="s">
        <v>42</v>
      </c>
      <c r="C116" s="2" t="s">
        <v>12</v>
      </c>
      <c r="D116" s="2">
        <v>607</v>
      </c>
      <c r="E116" s="2">
        <v>0</v>
      </c>
      <c r="F116" s="2" t="s">
        <v>5</v>
      </c>
      <c r="G116" s="5">
        <v>45610</v>
      </c>
      <c r="H116" s="9">
        <f>WEEKNUM(G116,2)</f>
        <v>46</v>
      </c>
      <c r="I116" s="2">
        <f>IF(F116="Thành công", E116-D116, 0)</f>
        <v>0</v>
      </c>
    </row>
    <row r="117" spans="1:9" ht="14.25" customHeight="1" x14ac:dyDescent="0.3">
      <c r="A117" s="2" t="s">
        <v>139</v>
      </c>
      <c r="B117" s="2" t="s">
        <v>17</v>
      </c>
      <c r="C117" s="2" t="s">
        <v>35</v>
      </c>
      <c r="D117" s="2">
        <v>83236</v>
      </c>
      <c r="E117" s="2">
        <v>1995287</v>
      </c>
      <c r="F117" s="2" t="s">
        <v>4</v>
      </c>
      <c r="G117" s="5">
        <v>45615</v>
      </c>
      <c r="H117" s="9">
        <f>WEEKNUM(G117,2)</f>
        <v>47</v>
      </c>
      <c r="I117" s="2">
        <f>IF(F117="Thành công", E117-D117, 0)</f>
        <v>1912051</v>
      </c>
    </row>
    <row r="118" spans="1:9" ht="14.25" customHeight="1" x14ac:dyDescent="0.3">
      <c r="A118" s="2" t="s">
        <v>140</v>
      </c>
      <c r="B118" s="2" t="s">
        <v>25</v>
      </c>
      <c r="C118" s="2" t="s">
        <v>8</v>
      </c>
      <c r="D118" s="2">
        <v>105276</v>
      </c>
      <c r="E118" s="2">
        <v>1854771</v>
      </c>
      <c r="F118" s="2" t="s">
        <v>4</v>
      </c>
      <c r="G118" s="3">
        <v>45606</v>
      </c>
      <c r="H118" s="9">
        <f>WEEKNUM(G118,2)</f>
        <v>45</v>
      </c>
      <c r="I118" s="2">
        <f>IF(F118="Thành công", E118-D118, 0)</f>
        <v>1749495</v>
      </c>
    </row>
    <row r="119" spans="1:9" ht="14.25" customHeight="1" x14ac:dyDescent="0.3">
      <c r="A119" s="2" t="s">
        <v>141</v>
      </c>
      <c r="B119" s="2" t="s">
        <v>7</v>
      </c>
      <c r="C119" s="2" t="s">
        <v>8</v>
      </c>
      <c r="D119" s="2">
        <v>115559</v>
      </c>
      <c r="E119" s="2">
        <v>1914142</v>
      </c>
      <c r="F119" s="2" t="s">
        <v>4</v>
      </c>
      <c r="G119" s="3">
        <v>45424</v>
      </c>
      <c r="H119" s="9">
        <f>WEEKNUM(G119,2)</f>
        <v>19</v>
      </c>
      <c r="I119" s="2">
        <f>IF(F119="Thành công", E119-D119, 0)</f>
        <v>1798583</v>
      </c>
    </row>
    <row r="120" spans="1:9" ht="14.25" customHeight="1" x14ac:dyDescent="0.3">
      <c r="A120" s="2" t="s">
        <v>142</v>
      </c>
      <c r="B120" s="2" t="s">
        <v>25</v>
      </c>
      <c r="C120" s="2" t="s">
        <v>8</v>
      </c>
      <c r="D120" s="2">
        <v>10717</v>
      </c>
      <c r="E120" s="2">
        <v>1782612</v>
      </c>
      <c r="F120" s="2" t="s">
        <v>4</v>
      </c>
      <c r="G120" s="5">
        <v>45640</v>
      </c>
      <c r="H120" s="9">
        <f>WEEKNUM(G120,2)</f>
        <v>50</v>
      </c>
      <c r="I120" s="2">
        <f>IF(F120="Thành công", E120-D120, 0)</f>
        <v>1771895</v>
      </c>
    </row>
    <row r="121" spans="1:9" ht="14.25" customHeight="1" x14ac:dyDescent="0.3">
      <c r="A121" s="2" t="s">
        <v>143</v>
      </c>
      <c r="B121" s="2" t="s">
        <v>29</v>
      </c>
      <c r="C121" s="2" t="s">
        <v>74</v>
      </c>
      <c r="D121" s="2">
        <v>957</v>
      </c>
      <c r="E121" s="2">
        <v>1552603</v>
      </c>
      <c r="F121" s="2" t="s">
        <v>4</v>
      </c>
      <c r="G121" s="3">
        <v>45514</v>
      </c>
      <c r="H121" s="9">
        <f>WEEKNUM(G121,2)</f>
        <v>32</v>
      </c>
      <c r="I121" s="2">
        <f>IF(F121="Thành công", E121-D121, 0)</f>
        <v>1551646</v>
      </c>
    </row>
    <row r="122" spans="1:9" ht="14.25" customHeight="1" x14ac:dyDescent="0.3">
      <c r="A122" s="2" t="s">
        <v>144</v>
      </c>
      <c r="B122" s="2" t="s">
        <v>10</v>
      </c>
      <c r="C122" s="2" t="s">
        <v>20</v>
      </c>
      <c r="D122" s="2">
        <v>148131</v>
      </c>
      <c r="E122" s="2">
        <v>1906149</v>
      </c>
      <c r="F122" s="2" t="s">
        <v>4</v>
      </c>
      <c r="G122" s="3">
        <v>45394</v>
      </c>
      <c r="H122" s="9">
        <f>WEEKNUM(G122,2)</f>
        <v>15</v>
      </c>
      <c r="I122" s="2">
        <f>IF(F122="Thành công", E122-D122, 0)</f>
        <v>1758018</v>
      </c>
    </row>
    <row r="123" spans="1:9" ht="14.25" customHeight="1" x14ac:dyDescent="0.3">
      <c r="A123" s="2" t="s">
        <v>145</v>
      </c>
      <c r="B123" s="2" t="s">
        <v>10</v>
      </c>
      <c r="C123" s="2" t="s">
        <v>20</v>
      </c>
      <c r="D123" s="2">
        <v>50833</v>
      </c>
      <c r="E123" s="2">
        <v>1484034</v>
      </c>
      <c r="F123" s="2" t="s">
        <v>4</v>
      </c>
      <c r="G123" s="5">
        <v>45584</v>
      </c>
      <c r="H123" s="9">
        <f>WEEKNUM(G123,2)</f>
        <v>42</v>
      </c>
      <c r="I123" s="2">
        <f>IF(F123="Thành công", E123-D123, 0)</f>
        <v>1433201</v>
      </c>
    </row>
    <row r="124" spans="1:9" ht="14.25" customHeight="1" x14ac:dyDescent="0.3">
      <c r="A124" s="2" t="s">
        <v>146</v>
      </c>
      <c r="B124" s="2" t="s">
        <v>22</v>
      </c>
      <c r="C124" s="2" t="s">
        <v>31</v>
      </c>
      <c r="D124" s="2">
        <v>91392</v>
      </c>
      <c r="E124" s="2">
        <v>0</v>
      </c>
      <c r="F124" s="2" t="s">
        <v>5</v>
      </c>
      <c r="G124" s="5">
        <v>45651</v>
      </c>
      <c r="H124" s="9">
        <f>WEEKNUM(G124,2)</f>
        <v>52</v>
      </c>
      <c r="I124" s="2">
        <f>IF(F124="Thành công", E124-D124, 0)</f>
        <v>0</v>
      </c>
    </row>
    <row r="125" spans="1:9" ht="14.25" customHeight="1" x14ac:dyDescent="0.3">
      <c r="A125" s="2" t="s">
        <v>147</v>
      </c>
      <c r="B125" s="2" t="s">
        <v>10</v>
      </c>
      <c r="C125" s="2" t="s">
        <v>74</v>
      </c>
      <c r="D125" s="2">
        <v>18307</v>
      </c>
      <c r="E125" s="2">
        <v>588406</v>
      </c>
      <c r="F125" s="2" t="s">
        <v>4</v>
      </c>
      <c r="G125" s="5">
        <v>45590</v>
      </c>
      <c r="H125" s="9">
        <f>WEEKNUM(G125,2)</f>
        <v>43</v>
      </c>
      <c r="I125" s="2">
        <f>IF(F125="Thành công", E125-D125, 0)</f>
        <v>570099</v>
      </c>
    </row>
    <row r="126" spans="1:9" ht="14.25" customHeight="1" x14ac:dyDescent="0.3">
      <c r="A126" s="2" t="s">
        <v>148</v>
      </c>
      <c r="B126" s="2" t="s">
        <v>29</v>
      </c>
      <c r="C126" s="2" t="s">
        <v>35</v>
      </c>
      <c r="D126" s="2">
        <v>97091</v>
      </c>
      <c r="E126" s="2">
        <v>960082</v>
      </c>
      <c r="F126" s="2" t="s">
        <v>4</v>
      </c>
      <c r="G126" s="5">
        <v>45656</v>
      </c>
      <c r="H126" s="9">
        <f>WEEKNUM(G126,2)</f>
        <v>53</v>
      </c>
      <c r="I126" s="2">
        <f>IF(F126="Thành công", E126-D126, 0)</f>
        <v>862991</v>
      </c>
    </row>
    <row r="127" spans="1:9" ht="14.25" customHeight="1" x14ac:dyDescent="0.3">
      <c r="A127" s="2" t="s">
        <v>149</v>
      </c>
      <c r="B127" s="2" t="s">
        <v>10</v>
      </c>
      <c r="C127" s="2" t="s">
        <v>74</v>
      </c>
      <c r="D127" s="2">
        <v>9503</v>
      </c>
      <c r="E127" s="2">
        <v>1935484</v>
      </c>
      <c r="F127" s="2" t="s">
        <v>4</v>
      </c>
      <c r="G127" s="3">
        <v>45485</v>
      </c>
      <c r="H127" s="9">
        <f>WEEKNUM(G127,2)</f>
        <v>28</v>
      </c>
      <c r="I127" s="2">
        <f>IF(F127="Thành công", E127-D127, 0)</f>
        <v>1925981</v>
      </c>
    </row>
    <row r="128" spans="1:9" ht="14.25" customHeight="1" x14ac:dyDescent="0.3">
      <c r="A128" s="2" t="s">
        <v>150</v>
      </c>
      <c r="B128" s="2" t="s">
        <v>27</v>
      </c>
      <c r="C128" s="2" t="s">
        <v>20</v>
      </c>
      <c r="D128" s="2">
        <v>130105</v>
      </c>
      <c r="E128" s="2">
        <v>1440255</v>
      </c>
      <c r="F128" s="2" t="s">
        <v>4</v>
      </c>
      <c r="G128" s="5">
        <v>45620</v>
      </c>
      <c r="H128" s="9">
        <f>WEEKNUM(G128,2)</f>
        <v>47</v>
      </c>
      <c r="I128" s="2">
        <f>IF(F128="Thành công", E128-D128, 0)</f>
        <v>1310150</v>
      </c>
    </row>
    <row r="129" spans="1:9" ht="14.25" customHeight="1" x14ac:dyDescent="0.3">
      <c r="A129" s="2" t="s">
        <v>151</v>
      </c>
      <c r="B129" s="2" t="s">
        <v>10</v>
      </c>
      <c r="C129" s="2" t="s">
        <v>35</v>
      </c>
      <c r="D129" s="2">
        <v>89897</v>
      </c>
      <c r="E129" s="2">
        <v>1738265</v>
      </c>
      <c r="F129" s="2" t="s">
        <v>4</v>
      </c>
      <c r="G129" s="5">
        <v>45588</v>
      </c>
      <c r="H129" s="9">
        <f>WEEKNUM(G129,2)</f>
        <v>43</v>
      </c>
      <c r="I129" s="2">
        <f>IF(F129="Thành công", E129-D129, 0)</f>
        <v>1648368</v>
      </c>
    </row>
    <row r="130" spans="1:9" ht="14.25" customHeight="1" x14ac:dyDescent="0.3">
      <c r="A130" s="2" t="s">
        <v>152</v>
      </c>
      <c r="B130" s="2" t="s">
        <v>29</v>
      </c>
      <c r="C130" s="2" t="s">
        <v>31</v>
      </c>
      <c r="D130" s="2">
        <v>40768</v>
      </c>
      <c r="E130" s="2">
        <v>1031882</v>
      </c>
      <c r="F130" s="2" t="s">
        <v>4</v>
      </c>
      <c r="G130" s="3">
        <v>45423</v>
      </c>
      <c r="H130" s="9">
        <f>WEEKNUM(G130,2)</f>
        <v>19</v>
      </c>
      <c r="I130" s="2">
        <f>IF(F130="Thành công", E130-D130, 0)</f>
        <v>991114</v>
      </c>
    </row>
    <row r="131" spans="1:9" ht="14.25" customHeight="1" x14ac:dyDescent="0.3">
      <c r="A131" s="2" t="s">
        <v>153</v>
      </c>
      <c r="B131" s="2" t="s">
        <v>10</v>
      </c>
      <c r="C131" s="2" t="s">
        <v>31</v>
      </c>
      <c r="D131" s="2">
        <v>36811</v>
      </c>
      <c r="E131" s="2">
        <v>0</v>
      </c>
      <c r="F131" s="2" t="s">
        <v>5</v>
      </c>
      <c r="G131" s="3">
        <v>45607</v>
      </c>
      <c r="H131" s="9">
        <f>WEEKNUM(G131,2)</f>
        <v>46</v>
      </c>
      <c r="I131" s="2">
        <f>IF(F131="Thành công", E131-D131, 0)</f>
        <v>0</v>
      </c>
    </row>
    <row r="132" spans="1:9" ht="14.25" customHeight="1" x14ac:dyDescent="0.3">
      <c r="A132" s="2" t="s">
        <v>154</v>
      </c>
      <c r="B132" s="2" t="s">
        <v>7</v>
      </c>
      <c r="C132" s="2" t="s">
        <v>35</v>
      </c>
      <c r="D132" s="2">
        <v>91317</v>
      </c>
      <c r="E132" s="2">
        <v>1489257</v>
      </c>
      <c r="F132" s="2" t="s">
        <v>4</v>
      </c>
      <c r="G132" s="3">
        <v>45577</v>
      </c>
      <c r="H132" s="9">
        <f>WEEKNUM(G132,2)</f>
        <v>41</v>
      </c>
      <c r="I132" s="2">
        <f>IF(F132="Thành công", E132-D132, 0)</f>
        <v>1397940</v>
      </c>
    </row>
    <row r="133" spans="1:9" ht="14.25" customHeight="1" x14ac:dyDescent="0.3">
      <c r="A133" s="2" t="s">
        <v>155</v>
      </c>
      <c r="B133" s="2" t="s">
        <v>42</v>
      </c>
      <c r="C133" s="2" t="s">
        <v>20</v>
      </c>
      <c r="D133" s="2">
        <v>139536</v>
      </c>
      <c r="E133" s="2">
        <v>0</v>
      </c>
      <c r="F133" s="2" t="s">
        <v>5</v>
      </c>
      <c r="G133" s="5">
        <v>45586</v>
      </c>
      <c r="H133" s="9">
        <f>WEEKNUM(G133,2)</f>
        <v>43</v>
      </c>
      <c r="I133" s="2">
        <f>IF(F133="Thành công", E133-D133, 0)</f>
        <v>0</v>
      </c>
    </row>
    <row r="134" spans="1:9" ht="14.25" customHeight="1" x14ac:dyDescent="0.3">
      <c r="A134" s="2" t="s">
        <v>156</v>
      </c>
      <c r="B134" s="2" t="s">
        <v>27</v>
      </c>
      <c r="C134" s="2" t="s">
        <v>23</v>
      </c>
      <c r="D134" s="2">
        <v>170178</v>
      </c>
      <c r="E134" s="2">
        <v>1345426</v>
      </c>
      <c r="F134" s="2" t="s">
        <v>4</v>
      </c>
      <c r="G134" s="3">
        <v>45608</v>
      </c>
      <c r="H134" s="9">
        <f>WEEKNUM(G134,2)</f>
        <v>46</v>
      </c>
      <c r="I134" s="2">
        <f>IF(F134="Thành công", E134-D134, 0)</f>
        <v>1175248</v>
      </c>
    </row>
    <row r="135" spans="1:9" ht="14.25" customHeight="1" x14ac:dyDescent="0.3">
      <c r="A135" s="2" t="s">
        <v>157</v>
      </c>
      <c r="B135" s="2" t="s">
        <v>46</v>
      </c>
      <c r="C135" s="2" t="s">
        <v>23</v>
      </c>
      <c r="D135" s="2">
        <v>191182</v>
      </c>
      <c r="E135" s="2">
        <v>1814327</v>
      </c>
      <c r="F135" s="2" t="s">
        <v>4</v>
      </c>
      <c r="G135" s="5">
        <v>45653</v>
      </c>
      <c r="H135" s="9">
        <f>WEEKNUM(G135,2)</f>
        <v>52</v>
      </c>
      <c r="I135" s="2">
        <f>IF(F135="Thành công", E135-D135, 0)</f>
        <v>1623145</v>
      </c>
    </row>
    <row r="136" spans="1:9" ht="14.25" customHeight="1" x14ac:dyDescent="0.3">
      <c r="A136" s="2" t="s">
        <v>158</v>
      </c>
      <c r="B136" s="2" t="s">
        <v>10</v>
      </c>
      <c r="C136" s="2" t="s">
        <v>12</v>
      </c>
      <c r="D136" s="2">
        <v>26439</v>
      </c>
      <c r="E136" s="2">
        <v>538019</v>
      </c>
      <c r="F136" s="2" t="s">
        <v>4</v>
      </c>
      <c r="G136" s="5">
        <v>45585</v>
      </c>
      <c r="H136" s="9">
        <f>WEEKNUM(G136,2)</f>
        <v>42</v>
      </c>
      <c r="I136" s="2">
        <f>IF(F136="Thành công", E136-D136, 0)</f>
        <v>511580</v>
      </c>
    </row>
    <row r="137" spans="1:9" ht="14.25" customHeight="1" x14ac:dyDescent="0.3">
      <c r="A137" s="2" t="s">
        <v>159</v>
      </c>
      <c r="B137" s="2" t="s">
        <v>22</v>
      </c>
      <c r="C137" s="2" t="s">
        <v>12</v>
      </c>
      <c r="D137" s="2">
        <v>8507</v>
      </c>
      <c r="E137" s="2">
        <v>1751370</v>
      </c>
      <c r="F137" s="2" t="s">
        <v>4</v>
      </c>
      <c r="G137" s="3">
        <v>45303</v>
      </c>
      <c r="H137" s="9">
        <f>WEEKNUM(G137,2)</f>
        <v>2</v>
      </c>
      <c r="I137" s="2">
        <f>IF(F137="Thành công", E137-D137, 0)</f>
        <v>1742863</v>
      </c>
    </row>
    <row r="138" spans="1:9" ht="14.25" customHeight="1" x14ac:dyDescent="0.3">
      <c r="A138" s="2" t="s">
        <v>160</v>
      </c>
      <c r="B138" s="2" t="s">
        <v>7</v>
      </c>
      <c r="C138" s="2" t="s">
        <v>8</v>
      </c>
      <c r="D138" s="2">
        <v>100123</v>
      </c>
      <c r="E138" s="2">
        <v>1928024</v>
      </c>
      <c r="F138" s="2" t="s">
        <v>4</v>
      </c>
      <c r="G138" s="3">
        <v>45334</v>
      </c>
      <c r="H138" s="9">
        <f>WEEKNUM(G138,2)</f>
        <v>7</v>
      </c>
      <c r="I138" s="2">
        <f>IF(F138="Thành công", E138-D138, 0)</f>
        <v>1827901</v>
      </c>
    </row>
    <row r="139" spans="1:9" ht="14.25" customHeight="1" x14ac:dyDescent="0.3">
      <c r="A139" s="2" t="s">
        <v>161</v>
      </c>
      <c r="B139" s="2" t="s">
        <v>17</v>
      </c>
      <c r="C139" s="2" t="s">
        <v>12</v>
      </c>
      <c r="D139" s="2">
        <v>28613</v>
      </c>
      <c r="E139" s="2">
        <v>1649653</v>
      </c>
      <c r="F139" s="2" t="s">
        <v>4</v>
      </c>
      <c r="G139" s="3">
        <v>45301</v>
      </c>
      <c r="H139" s="9">
        <f>WEEKNUM(G139,2)</f>
        <v>2</v>
      </c>
      <c r="I139" s="2">
        <f>IF(F139="Thành công", E139-D139, 0)</f>
        <v>1621040</v>
      </c>
    </row>
    <row r="140" spans="1:9" ht="14.25" customHeight="1" x14ac:dyDescent="0.3">
      <c r="A140" s="2" t="s">
        <v>162</v>
      </c>
      <c r="B140" s="2" t="s">
        <v>42</v>
      </c>
      <c r="C140" s="2" t="s">
        <v>35</v>
      </c>
      <c r="D140" s="2">
        <v>30651</v>
      </c>
      <c r="E140" s="2">
        <v>1716258</v>
      </c>
      <c r="F140" s="2" t="s">
        <v>4</v>
      </c>
      <c r="G140" s="3">
        <v>45514</v>
      </c>
      <c r="H140" s="9">
        <f>WEEKNUM(G140,2)</f>
        <v>32</v>
      </c>
      <c r="I140" s="2">
        <f>IF(F140="Thành công", E140-D140, 0)</f>
        <v>1685607</v>
      </c>
    </row>
    <row r="141" spans="1:9" ht="14.25" customHeight="1" x14ac:dyDescent="0.3">
      <c r="A141" s="2" t="s">
        <v>163</v>
      </c>
      <c r="B141" s="2" t="s">
        <v>29</v>
      </c>
      <c r="C141" s="2" t="s">
        <v>8</v>
      </c>
      <c r="D141" s="2">
        <v>99184</v>
      </c>
      <c r="E141" s="2">
        <v>226994</v>
      </c>
      <c r="F141" s="2" t="s">
        <v>4</v>
      </c>
      <c r="G141" s="5">
        <v>45646</v>
      </c>
      <c r="H141" s="9">
        <f>WEEKNUM(G141,2)</f>
        <v>51</v>
      </c>
      <c r="I141" s="2">
        <f>IF(F141="Thành công", E141-D141, 0)</f>
        <v>127810</v>
      </c>
    </row>
    <row r="142" spans="1:9" ht="14.25" customHeight="1" x14ac:dyDescent="0.3">
      <c r="A142" s="2" t="s">
        <v>164</v>
      </c>
      <c r="B142" s="2" t="s">
        <v>17</v>
      </c>
      <c r="C142" s="2" t="s">
        <v>18</v>
      </c>
      <c r="D142" s="2">
        <v>194978</v>
      </c>
      <c r="E142" s="2">
        <v>1468739</v>
      </c>
      <c r="F142" s="2" t="s">
        <v>4</v>
      </c>
      <c r="G142" s="5">
        <v>45581</v>
      </c>
      <c r="H142" s="9">
        <f>WEEKNUM(G142,2)</f>
        <v>42</v>
      </c>
      <c r="I142" s="2">
        <f>IF(F142="Thành công", E142-D142, 0)</f>
        <v>1273761</v>
      </c>
    </row>
    <row r="143" spans="1:9" ht="14.25" customHeight="1" x14ac:dyDescent="0.3">
      <c r="A143" s="2" t="s">
        <v>165</v>
      </c>
      <c r="B143" s="2" t="s">
        <v>27</v>
      </c>
      <c r="C143" s="2" t="s">
        <v>20</v>
      </c>
      <c r="D143" s="2">
        <v>87898</v>
      </c>
      <c r="E143" s="2">
        <v>780723</v>
      </c>
      <c r="F143" s="2" t="s">
        <v>4</v>
      </c>
      <c r="G143" s="5">
        <v>45624</v>
      </c>
      <c r="H143" s="9">
        <f>WEEKNUM(G143,2)</f>
        <v>48</v>
      </c>
      <c r="I143" s="2">
        <f>IF(F143="Thành công", E143-D143, 0)</f>
        <v>692825</v>
      </c>
    </row>
    <row r="144" spans="1:9" ht="14.25" customHeight="1" x14ac:dyDescent="0.3">
      <c r="A144" s="2" t="s">
        <v>166</v>
      </c>
      <c r="B144" s="2" t="s">
        <v>10</v>
      </c>
      <c r="C144" s="2" t="s">
        <v>23</v>
      </c>
      <c r="D144" s="2">
        <v>108143</v>
      </c>
      <c r="E144" s="2">
        <v>1573478</v>
      </c>
      <c r="F144" s="2" t="s">
        <v>4</v>
      </c>
      <c r="G144" s="5">
        <v>45618</v>
      </c>
      <c r="H144" s="9">
        <f>WEEKNUM(G144,2)</f>
        <v>47</v>
      </c>
      <c r="I144" s="2">
        <f>IF(F144="Thành công", E144-D144, 0)</f>
        <v>1465335</v>
      </c>
    </row>
    <row r="145" spans="1:9" ht="14.25" customHeight="1" x14ac:dyDescent="0.3">
      <c r="A145" s="2" t="s">
        <v>167</v>
      </c>
      <c r="B145" s="2" t="s">
        <v>10</v>
      </c>
      <c r="C145" s="2" t="s">
        <v>8</v>
      </c>
      <c r="D145" s="2">
        <v>107832</v>
      </c>
      <c r="E145" s="2">
        <v>1895693</v>
      </c>
      <c r="F145" s="2" t="s">
        <v>4</v>
      </c>
      <c r="G145" s="5">
        <v>45656</v>
      </c>
      <c r="H145" s="9">
        <f>WEEKNUM(G145,2)</f>
        <v>53</v>
      </c>
      <c r="I145" s="2">
        <f>IF(F145="Thành công", E145-D145, 0)</f>
        <v>1787861</v>
      </c>
    </row>
    <row r="146" spans="1:9" ht="14.25" customHeight="1" x14ac:dyDescent="0.3">
      <c r="A146" s="2" t="s">
        <v>168</v>
      </c>
      <c r="B146" s="2" t="s">
        <v>7</v>
      </c>
      <c r="C146" s="2" t="s">
        <v>12</v>
      </c>
      <c r="D146" s="2">
        <v>17287</v>
      </c>
      <c r="E146" s="2">
        <v>0</v>
      </c>
      <c r="F146" s="2" t="s">
        <v>5</v>
      </c>
      <c r="G146" s="5">
        <v>45656</v>
      </c>
      <c r="H146" s="9">
        <f>WEEKNUM(G146,2)</f>
        <v>53</v>
      </c>
      <c r="I146" s="2">
        <f>IF(F146="Thành công", E146-D146, 0)</f>
        <v>0</v>
      </c>
    </row>
    <row r="147" spans="1:9" ht="14.25" customHeight="1" x14ac:dyDescent="0.3">
      <c r="A147" s="2" t="s">
        <v>169</v>
      </c>
      <c r="B147" s="2" t="s">
        <v>10</v>
      </c>
      <c r="C147" s="2" t="s">
        <v>18</v>
      </c>
      <c r="D147" s="2">
        <v>90885</v>
      </c>
      <c r="E147" s="2">
        <v>1598311</v>
      </c>
      <c r="F147" s="2" t="s">
        <v>4</v>
      </c>
      <c r="G147" s="5">
        <v>45615</v>
      </c>
      <c r="H147" s="9">
        <f>WEEKNUM(G147,2)</f>
        <v>47</v>
      </c>
      <c r="I147" s="2">
        <f>IF(F147="Thành công", E147-D147, 0)</f>
        <v>1507426</v>
      </c>
    </row>
    <row r="148" spans="1:9" ht="14.25" customHeight="1" x14ac:dyDescent="0.3">
      <c r="A148" s="2" t="s">
        <v>170</v>
      </c>
      <c r="B148" s="2" t="s">
        <v>29</v>
      </c>
      <c r="C148" s="2" t="s">
        <v>18</v>
      </c>
      <c r="D148" s="2">
        <v>113113</v>
      </c>
      <c r="E148" s="2">
        <v>1083808</v>
      </c>
      <c r="F148" s="2" t="s">
        <v>4</v>
      </c>
      <c r="G148" s="3">
        <v>45454</v>
      </c>
      <c r="H148" s="9">
        <f>WEEKNUM(G148,2)</f>
        <v>24</v>
      </c>
      <c r="I148" s="2">
        <f>IF(F148="Thành công", E148-D148, 0)</f>
        <v>970695</v>
      </c>
    </row>
    <row r="149" spans="1:9" ht="14.25" customHeight="1" x14ac:dyDescent="0.3">
      <c r="A149" s="2" t="s">
        <v>171</v>
      </c>
      <c r="B149" s="2" t="s">
        <v>46</v>
      </c>
      <c r="C149" s="2" t="s">
        <v>18</v>
      </c>
      <c r="D149" s="2">
        <v>95406</v>
      </c>
      <c r="E149" s="2">
        <v>925695</v>
      </c>
      <c r="F149" s="2" t="s">
        <v>4</v>
      </c>
      <c r="G149" s="3">
        <v>45608</v>
      </c>
      <c r="H149" s="9">
        <f>WEEKNUM(G149,2)</f>
        <v>46</v>
      </c>
      <c r="I149" s="2">
        <f>IF(F149="Thành công", E149-D149, 0)</f>
        <v>830289</v>
      </c>
    </row>
    <row r="150" spans="1:9" ht="14.25" customHeight="1" x14ac:dyDescent="0.3">
      <c r="A150" s="2" t="s">
        <v>172</v>
      </c>
      <c r="B150" s="2" t="s">
        <v>29</v>
      </c>
      <c r="C150" s="2" t="s">
        <v>8</v>
      </c>
      <c r="D150" s="2">
        <v>106923</v>
      </c>
      <c r="E150" s="2">
        <v>901076</v>
      </c>
      <c r="F150" s="2" t="s">
        <v>4</v>
      </c>
      <c r="G150" s="5">
        <v>45610</v>
      </c>
      <c r="H150" s="9">
        <f>WEEKNUM(G150,2)</f>
        <v>46</v>
      </c>
      <c r="I150" s="2">
        <f>IF(F150="Thành công", E150-D150, 0)</f>
        <v>794153</v>
      </c>
    </row>
    <row r="151" spans="1:9" ht="14.25" customHeight="1" x14ac:dyDescent="0.3">
      <c r="A151" s="2" t="s">
        <v>173</v>
      </c>
      <c r="B151" s="2" t="s">
        <v>17</v>
      </c>
      <c r="C151" s="2" t="s">
        <v>18</v>
      </c>
      <c r="D151" s="2">
        <v>82337</v>
      </c>
      <c r="E151" s="2">
        <v>0</v>
      </c>
      <c r="F151" s="2" t="s">
        <v>5</v>
      </c>
      <c r="G151" s="3">
        <v>45483</v>
      </c>
      <c r="H151" s="9">
        <f>WEEKNUM(G151,2)</f>
        <v>28</v>
      </c>
      <c r="I151" s="2">
        <f>IF(F151="Thành công", E151-D151, 0)</f>
        <v>0</v>
      </c>
    </row>
    <row r="152" spans="1:9" ht="14.25" customHeight="1" x14ac:dyDescent="0.3">
      <c r="A152" s="2" t="s">
        <v>174</v>
      </c>
      <c r="B152" s="2" t="s">
        <v>17</v>
      </c>
      <c r="C152" s="2" t="s">
        <v>8</v>
      </c>
      <c r="D152" s="2">
        <v>116281</v>
      </c>
      <c r="E152" s="2">
        <v>833056</v>
      </c>
      <c r="F152" s="2" t="s">
        <v>4</v>
      </c>
      <c r="G152" s="5">
        <v>45656</v>
      </c>
      <c r="H152" s="9">
        <f>WEEKNUM(G152,2)</f>
        <v>53</v>
      </c>
      <c r="I152" s="2">
        <f>IF(F152="Thành công", E152-D152, 0)</f>
        <v>716775</v>
      </c>
    </row>
    <row r="153" spans="1:9" ht="14.25" customHeight="1" x14ac:dyDescent="0.3">
      <c r="A153" s="2" t="s">
        <v>175</v>
      </c>
      <c r="B153" s="2" t="s">
        <v>22</v>
      </c>
      <c r="C153" s="2" t="s">
        <v>23</v>
      </c>
      <c r="D153" s="2">
        <v>51398</v>
      </c>
      <c r="E153" s="2">
        <v>0</v>
      </c>
      <c r="F153" s="2" t="s">
        <v>5</v>
      </c>
      <c r="G153" s="5">
        <v>45640</v>
      </c>
      <c r="H153" s="9">
        <f>WEEKNUM(G153,2)</f>
        <v>50</v>
      </c>
      <c r="I153" s="2">
        <f>IF(F153="Thành công", E153-D153, 0)</f>
        <v>0</v>
      </c>
    </row>
    <row r="154" spans="1:9" ht="14.25" customHeight="1" x14ac:dyDescent="0.3">
      <c r="A154" s="2" t="s">
        <v>176</v>
      </c>
      <c r="B154" s="2" t="s">
        <v>17</v>
      </c>
      <c r="C154" s="2" t="s">
        <v>74</v>
      </c>
      <c r="D154" s="2">
        <v>5715</v>
      </c>
      <c r="E154" s="2">
        <v>0</v>
      </c>
      <c r="F154" s="2" t="s">
        <v>5</v>
      </c>
      <c r="G154" s="3">
        <v>45363</v>
      </c>
      <c r="H154" s="9">
        <f>WEEKNUM(G154,2)</f>
        <v>11</v>
      </c>
      <c r="I154" s="2">
        <f>IF(F154="Thành công", E154-D154, 0)</f>
        <v>0</v>
      </c>
    </row>
    <row r="155" spans="1:9" ht="14.25" customHeight="1" x14ac:dyDescent="0.3">
      <c r="A155" s="2" t="s">
        <v>177</v>
      </c>
      <c r="B155" s="2" t="s">
        <v>14</v>
      </c>
      <c r="C155" s="2" t="s">
        <v>20</v>
      </c>
      <c r="D155" s="2">
        <v>77594</v>
      </c>
      <c r="E155" s="2">
        <v>0</v>
      </c>
      <c r="F155" s="2" t="s">
        <v>5</v>
      </c>
      <c r="G155" s="5">
        <v>45610</v>
      </c>
      <c r="H155" s="9">
        <f>WEEKNUM(G155,2)</f>
        <v>46</v>
      </c>
      <c r="I155" s="2">
        <f>IF(F155="Thành công", E155-D155, 0)</f>
        <v>0</v>
      </c>
    </row>
    <row r="156" spans="1:9" ht="14.25" customHeight="1" x14ac:dyDescent="0.3">
      <c r="A156" s="2" t="s">
        <v>178</v>
      </c>
      <c r="B156" s="2" t="s">
        <v>14</v>
      </c>
      <c r="C156" s="2" t="s">
        <v>74</v>
      </c>
      <c r="D156" s="2">
        <v>8237</v>
      </c>
      <c r="E156" s="2">
        <v>755780</v>
      </c>
      <c r="F156" s="2" t="s">
        <v>4</v>
      </c>
      <c r="G156" s="5">
        <v>45643</v>
      </c>
      <c r="H156" s="9">
        <f>WEEKNUM(G156,2)</f>
        <v>51</v>
      </c>
      <c r="I156" s="2">
        <f>IF(F156="Thành công", E156-D156, 0)</f>
        <v>747543</v>
      </c>
    </row>
    <row r="157" spans="1:9" ht="14.25" customHeight="1" x14ac:dyDescent="0.3">
      <c r="A157" s="2" t="s">
        <v>179</v>
      </c>
      <c r="B157" s="2" t="s">
        <v>29</v>
      </c>
      <c r="C157" s="2" t="s">
        <v>31</v>
      </c>
      <c r="D157" s="2">
        <v>32847</v>
      </c>
      <c r="E157" s="2">
        <v>841383</v>
      </c>
      <c r="F157" s="2" t="s">
        <v>4</v>
      </c>
      <c r="G157" s="5">
        <v>45615</v>
      </c>
      <c r="H157" s="9">
        <f>WEEKNUM(G157,2)</f>
        <v>47</v>
      </c>
      <c r="I157" s="2">
        <f>IF(F157="Thành công", E157-D157, 0)</f>
        <v>808536</v>
      </c>
    </row>
    <row r="158" spans="1:9" ht="14.25" customHeight="1" x14ac:dyDescent="0.3">
      <c r="A158" s="2" t="s">
        <v>180</v>
      </c>
      <c r="B158" s="2" t="s">
        <v>22</v>
      </c>
      <c r="C158" s="2" t="s">
        <v>20</v>
      </c>
      <c r="D158" s="2">
        <v>40822</v>
      </c>
      <c r="E158" s="2">
        <v>1338799</v>
      </c>
      <c r="F158" s="2" t="s">
        <v>4</v>
      </c>
      <c r="G158" s="3">
        <v>45302</v>
      </c>
      <c r="H158" s="9">
        <f>WEEKNUM(G158,2)</f>
        <v>2</v>
      </c>
      <c r="I158" s="2">
        <f>IF(F158="Thành công", E158-D158, 0)</f>
        <v>1297977</v>
      </c>
    </row>
    <row r="159" spans="1:9" ht="14.25" customHeight="1" x14ac:dyDescent="0.3">
      <c r="A159" s="2" t="s">
        <v>181</v>
      </c>
      <c r="B159" s="2" t="s">
        <v>27</v>
      </c>
      <c r="C159" s="2" t="s">
        <v>23</v>
      </c>
      <c r="D159" s="2">
        <v>74309</v>
      </c>
      <c r="E159" s="2">
        <v>1814823</v>
      </c>
      <c r="F159" s="2" t="s">
        <v>4</v>
      </c>
      <c r="G159" s="3">
        <v>45302</v>
      </c>
      <c r="H159" s="9">
        <f>WEEKNUM(G159,2)</f>
        <v>2</v>
      </c>
      <c r="I159" s="2">
        <f>IF(F159="Thành công", E159-D159, 0)</f>
        <v>1740514</v>
      </c>
    </row>
    <row r="160" spans="1:9" ht="14.25" customHeight="1" x14ac:dyDescent="0.3">
      <c r="A160" s="2" t="s">
        <v>182</v>
      </c>
      <c r="B160" s="2" t="s">
        <v>46</v>
      </c>
      <c r="C160" s="2" t="s">
        <v>8</v>
      </c>
      <c r="D160" s="2">
        <v>53135</v>
      </c>
      <c r="E160" s="2">
        <v>1358835</v>
      </c>
      <c r="F160" s="2" t="s">
        <v>4</v>
      </c>
      <c r="G160" s="3">
        <v>45394</v>
      </c>
      <c r="H160" s="9">
        <f>WEEKNUM(G160,2)</f>
        <v>15</v>
      </c>
      <c r="I160" s="2">
        <f>IF(F160="Thành công", E160-D160, 0)</f>
        <v>1305700</v>
      </c>
    </row>
    <row r="161" spans="1:9" ht="14.25" customHeight="1" x14ac:dyDescent="0.3">
      <c r="A161" s="2" t="s">
        <v>183</v>
      </c>
      <c r="B161" s="2" t="s">
        <v>7</v>
      </c>
      <c r="C161" s="2" t="s">
        <v>74</v>
      </c>
      <c r="D161" s="2">
        <v>6021</v>
      </c>
      <c r="E161" s="2">
        <v>0</v>
      </c>
      <c r="F161" s="2" t="s">
        <v>5</v>
      </c>
      <c r="G161" s="3">
        <v>45575</v>
      </c>
      <c r="H161" s="9">
        <f>WEEKNUM(G161,2)</f>
        <v>41</v>
      </c>
      <c r="I161" s="2">
        <f>IF(F161="Thành công", E161-D161, 0)</f>
        <v>0</v>
      </c>
    </row>
    <row r="162" spans="1:9" ht="14.25" customHeight="1" x14ac:dyDescent="0.3">
      <c r="A162" s="2" t="s">
        <v>184</v>
      </c>
      <c r="B162" s="2" t="s">
        <v>25</v>
      </c>
      <c r="C162" s="2" t="s">
        <v>23</v>
      </c>
      <c r="D162" s="2">
        <v>13185</v>
      </c>
      <c r="E162" s="2">
        <v>1467079</v>
      </c>
      <c r="F162" s="2" t="s">
        <v>4</v>
      </c>
      <c r="G162" s="5">
        <v>45639</v>
      </c>
      <c r="H162" s="9">
        <f>WEEKNUM(G162,2)</f>
        <v>50</v>
      </c>
      <c r="I162" s="2">
        <f>IF(F162="Thành công", E162-D162, 0)</f>
        <v>1453894</v>
      </c>
    </row>
    <row r="163" spans="1:9" ht="14.25" customHeight="1" x14ac:dyDescent="0.3">
      <c r="A163" s="2" t="s">
        <v>185</v>
      </c>
      <c r="B163" s="2" t="s">
        <v>7</v>
      </c>
      <c r="C163" s="2" t="s">
        <v>12</v>
      </c>
      <c r="D163" s="2">
        <v>16276</v>
      </c>
      <c r="E163" s="2">
        <v>0</v>
      </c>
      <c r="F163" s="2" t="s">
        <v>5</v>
      </c>
      <c r="G163" s="3">
        <v>45334</v>
      </c>
      <c r="H163" s="9">
        <f>WEEKNUM(G163,2)</f>
        <v>7</v>
      </c>
      <c r="I163" s="2">
        <f>IF(F163="Thành công", E163-D163, 0)</f>
        <v>0</v>
      </c>
    </row>
    <row r="164" spans="1:9" ht="14.25" customHeight="1" x14ac:dyDescent="0.3">
      <c r="A164" s="2" t="s">
        <v>186</v>
      </c>
      <c r="B164" s="2" t="s">
        <v>46</v>
      </c>
      <c r="C164" s="2" t="s">
        <v>74</v>
      </c>
      <c r="D164" s="2">
        <v>7391</v>
      </c>
      <c r="E164" s="2">
        <v>1742930</v>
      </c>
      <c r="F164" s="2" t="s">
        <v>4</v>
      </c>
      <c r="G164" s="5">
        <v>45618</v>
      </c>
      <c r="H164" s="9">
        <f>WEEKNUM(G164,2)</f>
        <v>47</v>
      </c>
      <c r="I164" s="2">
        <f>IF(F164="Thành công", E164-D164, 0)</f>
        <v>1735539</v>
      </c>
    </row>
    <row r="165" spans="1:9" ht="14.25" customHeight="1" x14ac:dyDescent="0.3">
      <c r="A165" s="2" t="s">
        <v>187</v>
      </c>
      <c r="B165" s="2" t="s">
        <v>25</v>
      </c>
      <c r="C165" s="2" t="s">
        <v>35</v>
      </c>
      <c r="D165" s="2">
        <v>20934</v>
      </c>
      <c r="E165" s="2">
        <v>687972</v>
      </c>
      <c r="F165" s="2" t="s">
        <v>4</v>
      </c>
      <c r="G165" s="3">
        <v>45363</v>
      </c>
      <c r="H165" s="9">
        <f>WEEKNUM(G165,2)</f>
        <v>11</v>
      </c>
      <c r="I165" s="2">
        <f>IF(F165="Thành công", E165-D165, 0)</f>
        <v>667038</v>
      </c>
    </row>
    <row r="166" spans="1:9" ht="14.25" customHeight="1" x14ac:dyDescent="0.3">
      <c r="A166" s="2" t="s">
        <v>188</v>
      </c>
      <c r="B166" s="2" t="s">
        <v>14</v>
      </c>
      <c r="C166" s="2" t="s">
        <v>31</v>
      </c>
      <c r="D166" s="2">
        <v>99611</v>
      </c>
      <c r="E166" s="2">
        <v>1439817</v>
      </c>
      <c r="F166" s="2" t="s">
        <v>4</v>
      </c>
      <c r="G166" s="5">
        <v>45612</v>
      </c>
      <c r="H166" s="9">
        <f>WEEKNUM(G166,2)</f>
        <v>46</v>
      </c>
      <c r="I166" s="2">
        <f>IF(F166="Thành công", E166-D166, 0)</f>
        <v>1340206</v>
      </c>
    </row>
    <row r="167" spans="1:9" ht="14.25" customHeight="1" x14ac:dyDescent="0.3">
      <c r="A167" s="2" t="s">
        <v>189</v>
      </c>
      <c r="B167" s="2" t="s">
        <v>10</v>
      </c>
      <c r="C167" s="2" t="s">
        <v>20</v>
      </c>
      <c r="D167" s="2">
        <v>38307</v>
      </c>
      <c r="E167" s="2">
        <v>1767526</v>
      </c>
      <c r="F167" s="2" t="s">
        <v>4</v>
      </c>
      <c r="G167" s="5">
        <v>45586</v>
      </c>
      <c r="H167" s="9">
        <f>WEEKNUM(G167,2)</f>
        <v>43</v>
      </c>
      <c r="I167" s="2">
        <f>IF(F167="Thành công", E167-D167, 0)</f>
        <v>1729219</v>
      </c>
    </row>
    <row r="168" spans="1:9" ht="14.25" customHeight="1" x14ac:dyDescent="0.3">
      <c r="A168" s="2" t="s">
        <v>190</v>
      </c>
      <c r="B168" s="2" t="s">
        <v>14</v>
      </c>
      <c r="C168" s="2" t="s">
        <v>35</v>
      </c>
      <c r="D168" s="2">
        <v>71417</v>
      </c>
      <c r="E168" s="2">
        <v>1794644</v>
      </c>
      <c r="F168" s="2" t="s">
        <v>4</v>
      </c>
      <c r="G168" s="3">
        <v>45637</v>
      </c>
      <c r="H168" s="9">
        <f>WEEKNUM(G168,2)</f>
        <v>50</v>
      </c>
      <c r="I168" s="2">
        <f>IF(F168="Thành công", E168-D168, 0)</f>
        <v>1723227</v>
      </c>
    </row>
    <row r="169" spans="1:9" ht="14.25" customHeight="1" x14ac:dyDescent="0.3">
      <c r="A169" s="2" t="s">
        <v>191</v>
      </c>
      <c r="B169" s="2" t="s">
        <v>22</v>
      </c>
      <c r="C169" s="2" t="s">
        <v>18</v>
      </c>
      <c r="D169" s="2">
        <v>60339</v>
      </c>
      <c r="E169" s="2">
        <v>853593</v>
      </c>
      <c r="F169" s="2" t="s">
        <v>4</v>
      </c>
      <c r="G169" s="5">
        <v>45593</v>
      </c>
      <c r="H169" s="9">
        <f>WEEKNUM(G169,2)</f>
        <v>44</v>
      </c>
      <c r="I169" s="2">
        <f>IF(F169="Thành công", E169-D169, 0)</f>
        <v>793254</v>
      </c>
    </row>
    <row r="170" spans="1:9" ht="14.25" customHeight="1" x14ac:dyDescent="0.3">
      <c r="A170" s="2" t="s">
        <v>192</v>
      </c>
      <c r="B170" s="2" t="s">
        <v>25</v>
      </c>
      <c r="C170" s="2" t="s">
        <v>20</v>
      </c>
      <c r="D170" s="2">
        <v>3525</v>
      </c>
      <c r="E170" s="2">
        <v>1109008</v>
      </c>
      <c r="F170" s="2" t="s">
        <v>4</v>
      </c>
      <c r="G170" s="3">
        <v>45636</v>
      </c>
      <c r="H170" s="9">
        <f>WEEKNUM(G170,2)</f>
        <v>50</v>
      </c>
      <c r="I170" s="2">
        <f>IF(F170="Thành công", E170-D170, 0)</f>
        <v>1105483</v>
      </c>
    </row>
    <row r="171" spans="1:9" ht="14.25" customHeight="1" x14ac:dyDescent="0.3">
      <c r="A171" s="2" t="s">
        <v>193</v>
      </c>
      <c r="B171" s="2" t="s">
        <v>22</v>
      </c>
      <c r="C171" s="2" t="s">
        <v>12</v>
      </c>
      <c r="D171" s="2">
        <v>2449</v>
      </c>
      <c r="E171" s="2">
        <v>0</v>
      </c>
      <c r="F171" s="2" t="s">
        <v>5</v>
      </c>
      <c r="G171" s="5">
        <v>45625</v>
      </c>
      <c r="H171" s="9">
        <f>WEEKNUM(G171,2)</f>
        <v>48</v>
      </c>
      <c r="I171" s="2">
        <f>IF(F171="Thành công", E171-D171, 0)</f>
        <v>0</v>
      </c>
    </row>
    <row r="172" spans="1:9" ht="14.25" customHeight="1" x14ac:dyDescent="0.3">
      <c r="A172" s="2" t="s">
        <v>194</v>
      </c>
      <c r="B172" s="2" t="s">
        <v>14</v>
      </c>
      <c r="C172" s="2" t="s">
        <v>31</v>
      </c>
      <c r="D172" s="2">
        <v>81352</v>
      </c>
      <c r="E172" s="2">
        <v>1075762</v>
      </c>
      <c r="F172" s="2" t="s">
        <v>4</v>
      </c>
      <c r="G172" s="5">
        <v>45653</v>
      </c>
      <c r="H172" s="9">
        <f>WEEKNUM(G172,2)</f>
        <v>52</v>
      </c>
      <c r="I172" s="2">
        <f>IF(F172="Thành công", E172-D172, 0)</f>
        <v>994410</v>
      </c>
    </row>
    <row r="173" spans="1:9" ht="14.25" customHeight="1" x14ac:dyDescent="0.3">
      <c r="A173" s="2" t="s">
        <v>195</v>
      </c>
      <c r="B173" s="2" t="s">
        <v>46</v>
      </c>
      <c r="C173" s="2" t="s">
        <v>31</v>
      </c>
      <c r="D173" s="2">
        <v>6306</v>
      </c>
      <c r="E173" s="2">
        <v>517047</v>
      </c>
      <c r="F173" s="2" t="s">
        <v>4</v>
      </c>
      <c r="G173" s="5">
        <v>45620</v>
      </c>
      <c r="H173" s="9">
        <f>WEEKNUM(G173,2)</f>
        <v>47</v>
      </c>
      <c r="I173" s="2">
        <f>IF(F173="Thành công", E173-D173, 0)</f>
        <v>510741</v>
      </c>
    </row>
    <row r="174" spans="1:9" ht="14.25" customHeight="1" x14ac:dyDescent="0.3">
      <c r="A174" s="2" t="s">
        <v>196</v>
      </c>
      <c r="B174" s="2" t="s">
        <v>22</v>
      </c>
      <c r="C174" s="2" t="s">
        <v>20</v>
      </c>
      <c r="D174" s="2">
        <v>107758</v>
      </c>
      <c r="E174" s="2">
        <v>264042</v>
      </c>
      <c r="F174" s="2" t="s">
        <v>4</v>
      </c>
      <c r="G174" s="3">
        <v>45303</v>
      </c>
      <c r="H174" s="9">
        <f>WEEKNUM(G174,2)</f>
        <v>2</v>
      </c>
      <c r="I174" s="2">
        <f>IF(F174="Thành công", E174-D174, 0)</f>
        <v>156284</v>
      </c>
    </row>
    <row r="175" spans="1:9" ht="14.25" customHeight="1" x14ac:dyDescent="0.3">
      <c r="A175" s="2" t="s">
        <v>197</v>
      </c>
      <c r="B175" s="2" t="s">
        <v>42</v>
      </c>
      <c r="C175" s="2" t="s">
        <v>74</v>
      </c>
      <c r="D175" s="2">
        <v>9237</v>
      </c>
      <c r="E175" s="2">
        <v>614383</v>
      </c>
      <c r="F175" s="2" t="s">
        <v>4</v>
      </c>
      <c r="G175" s="5">
        <v>45589</v>
      </c>
      <c r="H175" s="9">
        <f>WEEKNUM(G175,2)</f>
        <v>43</v>
      </c>
      <c r="I175" s="2">
        <f>IF(F175="Thành công", E175-D175, 0)</f>
        <v>605146</v>
      </c>
    </row>
    <row r="176" spans="1:9" ht="14.25" customHeight="1" x14ac:dyDescent="0.3">
      <c r="A176" s="2" t="s">
        <v>198</v>
      </c>
      <c r="B176" s="2" t="s">
        <v>22</v>
      </c>
      <c r="C176" s="2" t="s">
        <v>74</v>
      </c>
      <c r="D176" s="2">
        <v>9637</v>
      </c>
      <c r="E176" s="2">
        <v>1088787</v>
      </c>
      <c r="F176" s="2" t="s">
        <v>4</v>
      </c>
      <c r="G176" s="3">
        <v>45577</v>
      </c>
      <c r="H176" s="9">
        <f>WEEKNUM(G176,2)</f>
        <v>41</v>
      </c>
      <c r="I176" s="2">
        <f>IF(F176="Thành công", E176-D176, 0)</f>
        <v>1079150</v>
      </c>
    </row>
    <row r="177" spans="1:9" ht="14.25" customHeight="1" x14ac:dyDescent="0.3">
      <c r="A177" s="2" t="s">
        <v>199</v>
      </c>
      <c r="B177" s="2" t="s">
        <v>17</v>
      </c>
      <c r="C177" s="2" t="s">
        <v>8</v>
      </c>
      <c r="D177" s="2">
        <v>136813</v>
      </c>
      <c r="E177" s="2">
        <v>223484</v>
      </c>
      <c r="F177" s="2" t="s">
        <v>4</v>
      </c>
      <c r="G177" s="5">
        <v>45611</v>
      </c>
      <c r="H177" s="9">
        <f>WEEKNUM(G177,2)</f>
        <v>46</v>
      </c>
      <c r="I177" s="2">
        <f>IF(F177="Thành công", E177-D177, 0)</f>
        <v>86671</v>
      </c>
    </row>
    <row r="178" spans="1:9" ht="14.25" customHeight="1" x14ac:dyDescent="0.3">
      <c r="A178" s="2" t="s">
        <v>200</v>
      </c>
      <c r="B178" s="2" t="s">
        <v>22</v>
      </c>
      <c r="C178" s="2" t="s">
        <v>12</v>
      </c>
      <c r="D178" s="2">
        <v>18995</v>
      </c>
      <c r="E178" s="2">
        <v>1503984</v>
      </c>
      <c r="F178" s="2" t="s">
        <v>4</v>
      </c>
      <c r="G178" s="5">
        <v>45609</v>
      </c>
      <c r="H178" s="9">
        <f>WEEKNUM(G178,2)</f>
        <v>46</v>
      </c>
      <c r="I178" s="2">
        <f>IF(F178="Thành công", E178-D178, 0)</f>
        <v>1484989</v>
      </c>
    </row>
    <row r="179" spans="1:9" ht="14.25" customHeight="1" x14ac:dyDescent="0.3">
      <c r="A179" s="2" t="s">
        <v>201</v>
      </c>
      <c r="B179" s="2" t="s">
        <v>46</v>
      </c>
      <c r="C179" s="2" t="s">
        <v>12</v>
      </c>
      <c r="D179" s="2">
        <v>13113</v>
      </c>
      <c r="E179" s="2">
        <v>0</v>
      </c>
      <c r="F179" s="2" t="s">
        <v>5</v>
      </c>
      <c r="G179" s="5">
        <v>45639</v>
      </c>
      <c r="H179" s="9">
        <f>WEEKNUM(G179,2)</f>
        <v>50</v>
      </c>
      <c r="I179" s="2">
        <f>IF(F179="Thành công", E179-D179, 0)</f>
        <v>0</v>
      </c>
    </row>
    <row r="180" spans="1:9" ht="14.25" customHeight="1" x14ac:dyDescent="0.3">
      <c r="A180" s="2" t="s">
        <v>202</v>
      </c>
      <c r="B180" s="2" t="s">
        <v>14</v>
      </c>
      <c r="C180" s="2" t="s">
        <v>35</v>
      </c>
      <c r="D180" s="2">
        <v>79249</v>
      </c>
      <c r="E180" s="2">
        <v>998241</v>
      </c>
      <c r="F180" s="2" t="s">
        <v>4</v>
      </c>
      <c r="G180" s="3">
        <v>45606</v>
      </c>
      <c r="H180" s="9">
        <f>WEEKNUM(G180,2)</f>
        <v>45</v>
      </c>
      <c r="I180" s="2">
        <f>IF(F180="Thành công", E180-D180, 0)</f>
        <v>918992</v>
      </c>
    </row>
    <row r="181" spans="1:9" ht="14.25" customHeight="1" x14ac:dyDescent="0.3">
      <c r="A181" s="2" t="s">
        <v>203</v>
      </c>
      <c r="B181" s="2" t="s">
        <v>25</v>
      </c>
      <c r="C181" s="2" t="s">
        <v>18</v>
      </c>
      <c r="D181" s="2">
        <v>115683</v>
      </c>
      <c r="E181" s="2">
        <v>702783</v>
      </c>
      <c r="F181" s="2" t="s">
        <v>4</v>
      </c>
      <c r="G181" s="3">
        <v>45638</v>
      </c>
      <c r="H181" s="9">
        <f>WEEKNUM(G181,2)</f>
        <v>50</v>
      </c>
      <c r="I181" s="2">
        <f>IF(F181="Thành công", E181-D181, 0)</f>
        <v>587100</v>
      </c>
    </row>
    <row r="182" spans="1:9" ht="14.25" customHeight="1" x14ac:dyDescent="0.3">
      <c r="A182" s="2" t="s">
        <v>204</v>
      </c>
      <c r="B182" s="2" t="s">
        <v>17</v>
      </c>
      <c r="C182" s="2" t="s">
        <v>20</v>
      </c>
      <c r="D182" s="2">
        <v>125394</v>
      </c>
      <c r="E182" s="2">
        <v>981862</v>
      </c>
      <c r="F182" s="2" t="s">
        <v>4</v>
      </c>
      <c r="G182" s="3">
        <v>45424</v>
      </c>
      <c r="H182" s="9">
        <f>WEEKNUM(G182,2)</f>
        <v>19</v>
      </c>
      <c r="I182" s="2">
        <f>IF(F182="Thành công", E182-D182, 0)</f>
        <v>856468</v>
      </c>
    </row>
    <row r="183" spans="1:9" ht="14.25" customHeight="1" x14ac:dyDescent="0.3">
      <c r="A183" s="2" t="s">
        <v>205</v>
      </c>
      <c r="B183" s="2" t="s">
        <v>22</v>
      </c>
      <c r="C183" s="2" t="s">
        <v>8</v>
      </c>
      <c r="D183" s="2">
        <v>5879</v>
      </c>
      <c r="E183" s="2">
        <v>1561327</v>
      </c>
      <c r="F183" s="2" t="s">
        <v>4</v>
      </c>
      <c r="G183" s="5">
        <v>45644</v>
      </c>
      <c r="H183" s="9">
        <f>WEEKNUM(G183,2)</f>
        <v>51</v>
      </c>
      <c r="I183" s="2">
        <f>IF(F183="Thành công", E183-D183, 0)</f>
        <v>1555448</v>
      </c>
    </row>
    <row r="184" spans="1:9" ht="14.25" customHeight="1" x14ac:dyDescent="0.3">
      <c r="A184" s="2" t="s">
        <v>206</v>
      </c>
      <c r="B184" s="2" t="s">
        <v>29</v>
      </c>
      <c r="C184" s="2" t="s">
        <v>35</v>
      </c>
      <c r="D184" s="2">
        <v>89989</v>
      </c>
      <c r="E184" s="2">
        <v>1386700</v>
      </c>
      <c r="F184" s="2" t="s">
        <v>4</v>
      </c>
      <c r="G184" s="5">
        <v>45619</v>
      </c>
      <c r="H184" s="9">
        <f>WEEKNUM(G184,2)</f>
        <v>47</v>
      </c>
      <c r="I184" s="2">
        <f>IF(F184="Thành công", E184-D184, 0)</f>
        <v>1296711</v>
      </c>
    </row>
    <row r="185" spans="1:9" ht="14.25" customHeight="1" x14ac:dyDescent="0.3">
      <c r="A185" s="2" t="s">
        <v>207</v>
      </c>
      <c r="B185" s="2" t="s">
        <v>25</v>
      </c>
      <c r="C185" s="2" t="s">
        <v>8</v>
      </c>
      <c r="D185" s="2">
        <v>100778</v>
      </c>
      <c r="E185" s="2">
        <v>1671818</v>
      </c>
      <c r="F185" s="2" t="s">
        <v>4</v>
      </c>
      <c r="G185" s="3">
        <v>45453</v>
      </c>
      <c r="H185" s="9">
        <f>WEEKNUM(G185,2)</f>
        <v>24</v>
      </c>
      <c r="I185" s="2">
        <f>IF(F185="Thành công", E185-D185, 0)</f>
        <v>1571040</v>
      </c>
    </row>
    <row r="186" spans="1:9" ht="14.25" customHeight="1" x14ac:dyDescent="0.3">
      <c r="A186" s="2" t="s">
        <v>208</v>
      </c>
      <c r="B186" s="2" t="s">
        <v>46</v>
      </c>
      <c r="C186" s="2" t="s">
        <v>18</v>
      </c>
      <c r="D186" s="2">
        <v>170531</v>
      </c>
      <c r="E186" s="2">
        <v>1618216</v>
      </c>
      <c r="F186" s="2" t="s">
        <v>4</v>
      </c>
      <c r="G186" s="5">
        <v>45651</v>
      </c>
      <c r="H186" s="9">
        <f>WEEKNUM(G186,2)</f>
        <v>52</v>
      </c>
      <c r="I186" s="2">
        <f>IF(F186="Thành công", E186-D186, 0)</f>
        <v>1447685</v>
      </c>
    </row>
    <row r="187" spans="1:9" ht="14.25" customHeight="1" x14ac:dyDescent="0.3">
      <c r="A187" s="2" t="s">
        <v>209</v>
      </c>
      <c r="B187" s="2" t="s">
        <v>17</v>
      </c>
      <c r="C187" s="2" t="s">
        <v>35</v>
      </c>
      <c r="D187" s="2">
        <v>74017</v>
      </c>
      <c r="E187" s="2">
        <v>1367827</v>
      </c>
      <c r="F187" s="2" t="s">
        <v>4</v>
      </c>
      <c r="G187" s="3">
        <v>45576</v>
      </c>
      <c r="H187" s="9">
        <f>WEEKNUM(G187,2)</f>
        <v>41</v>
      </c>
      <c r="I187" s="2">
        <f>IF(F187="Thành công", E187-D187, 0)</f>
        <v>1293810</v>
      </c>
    </row>
    <row r="188" spans="1:9" ht="14.25" customHeight="1" x14ac:dyDescent="0.3">
      <c r="A188" s="2" t="s">
        <v>210</v>
      </c>
      <c r="B188" s="2" t="s">
        <v>27</v>
      </c>
      <c r="C188" s="2" t="s">
        <v>31</v>
      </c>
      <c r="D188" s="2">
        <v>37666</v>
      </c>
      <c r="E188" s="2">
        <v>420333</v>
      </c>
      <c r="F188" s="2" t="s">
        <v>4</v>
      </c>
      <c r="G188" s="3">
        <v>45363</v>
      </c>
      <c r="H188" s="9">
        <f>WEEKNUM(G188,2)</f>
        <v>11</v>
      </c>
      <c r="I188" s="2">
        <f>IF(F188="Thành công", E188-D188, 0)</f>
        <v>382667</v>
      </c>
    </row>
    <row r="189" spans="1:9" ht="14.25" customHeight="1" x14ac:dyDescent="0.3">
      <c r="A189" s="2" t="s">
        <v>211</v>
      </c>
      <c r="B189" s="2" t="s">
        <v>7</v>
      </c>
      <c r="C189" s="2" t="s">
        <v>31</v>
      </c>
      <c r="D189" s="2">
        <v>39434</v>
      </c>
      <c r="E189" s="2">
        <v>1337279</v>
      </c>
      <c r="F189" s="2" t="s">
        <v>4</v>
      </c>
      <c r="G189" s="3">
        <v>45301</v>
      </c>
      <c r="H189" s="9">
        <f>WEEKNUM(G189,2)</f>
        <v>2</v>
      </c>
      <c r="I189" s="2">
        <f>IF(F189="Thành công", E189-D189, 0)</f>
        <v>1297845</v>
      </c>
    </row>
    <row r="190" spans="1:9" ht="14.25" customHeight="1" x14ac:dyDescent="0.3">
      <c r="A190" s="2" t="s">
        <v>212</v>
      </c>
      <c r="B190" s="2" t="s">
        <v>29</v>
      </c>
      <c r="C190" s="2" t="s">
        <v>20</v>
      </c>
      <c r="D190" s="2">
        <v>43203</v>
      </c>
      <c r="E190" s="2">
        <v>0</v>
      </c>
      <c r="F190" s="2" t="s">
        <v>5</v>
      </c>
      <c r="G190" s="3">
        <v>45453</v>
      </c>
      <c r="H190" s="9">
        <f>WEEKNUM(G190,2)</f>
        <v>24</v>
      </c>
      <c r="I190" s="2">
        <f>IF(F190="Thành công", E190-D190, 0)</f>
        <v>0</v>
      </c>
    </row>
    <row r="191" spans="1:9" ht="14.25" customHeight="1" x14ac:dyDescent="0.3">
      <c r="A191" s="2" t="s">
        <v>213</v>
      </c>
      <c r="B191" s="2" t="s">
        <v>46</v>
      </c>
      <c r="C191" s="2" t="s">
        <v>35</v>
      </c>
      <c r="D191" s="2">
        <v>23945</v>
      </c>
      <c r="E191" s="2">
        <v>800210</v>
      </c>
      <c r="F191" s="2" t="s">
        <v>4</v>
      </c>
      <c r="G191" s="3">
        <v>45301</v>
      </c>
      <c r="H191" s="9">
        <f>WEEKNUM(G191,2)</f>
        <v>2</v>
      </c>
      <c r="I191" s="2">
        <f>IF(F191="Thành công", E191-D191, 0)</f>
        <v>776265</v>
      </c>
    </row>
    <row r="192" spans="1:9" ht="14.25" customHeight="1" x14ac:dyDescent="0.3">
      <c r="A192" s="2" t="s">
        <v>214</v>
      </c>
      <c r="B192" s="2" t="s">
        <v>29</v>
      </c>
      <c r="C192" s="2" t="s">
        <v>18</v>
      </c>
      <c r="D192" s="2">
        <v>58421</v>
      </c>
      <c r="E192" s="2">
        <v>306199</v>
      </c>
      <c r="F192" s="2" t="s">
        <v>4</v>
      </c>
      <c r="G192" s="5">
        <v>45622</v>
      </c>
      <c r="H192" s="9">
        <f>WEEKNUM(G192,2)</f>
        <v>48</v>
      </c>
      <c r="I192" s="2">
        <f>IF(F192="Thành công", E192-D192, 0)</f>
        <v>247778</v>
      </c>
    </row>
    <row r="193" spans="1:9" ht="14.25" customHeight="1" x14ac:dyDescent="0.3">
      <c r="A193" s="2" t="s">
        <v>215</v>
      </c>
      <c r="B193" s="2" t="s">
        <v>29</v>
      </c>
      <c r="C193" s="2" t="s">
        <v>18</v>
      </c>
      <c r="D193" s="2">
        <v>101772</v>
      </c>
      <c r="E193" s="2">
        <v>1501491</v>
      </c>
      <c r="F193" s="2" t="s">
        <v>4</v>
      </c>
      <c r="G193" s="3">
        <v>45575</v>
      </c>
      <c r="H193" s="9">
        <f>WEEKNUM(G193,2)</f>
        <v>41</v>
      </c>
      <c r="I193" s="2">
        <f>IF(F193="Thành công", E193-D193, 0)</f>
        <v>1399719</v>
      </c>
    </row>
    <row r="194" spans="1:9" ht="14.25" customHeight="1" x14ac:dyDescent="0.3">
      <c r="A194" s="2" t="s">
        <v>216</v>
      </c>
      <c r="B194" s="2" t="s">
        <v>17</v>
      </c>
      <c r="C194" s="2" t="s">
        <v>12</v>
      </c>
      <c r="D194" s="2">
        <v>7769</v>
      </c>
      <c r="E194" s="2">
        <v>964627</v>
      </c>
      <c r="F194" s="2" t="s">
        <v>4</v>
      </c>
      <c r="G194" s="3">
        <v>45516</v>
      </c>
      <c r="H194" s="9">
        <f>WEEKNUM(G194,2)</f>
        <v>33</v>
      </c>
      <c r="I194" s="2">
        <f>IF(F194="Thành công", E194-D194, 0)</f>
        <v>956858</v>
      </c>
    </row>
    <row r="195" spans="1:9" ht="14.25" customHeight="1" x14ac:dyDescent="0.3">
      <c r="A195" s="2" t="s">
        <v>217</v>
      </c>
      <c r="B195" s="2" t="s">
        <v>42</v>
      </c>
      <c r="C195" s="2" t="s">
        <v>23</v>
      </c>
      <c r="D195" s="2">
        <v>84302</v>
      </c>
      <c r="E195" s="2">
        <v>764766</v>
      </c>
      <c r="F195" s="2" t="s">
        <v>4</v>
      </c>
      <c r="G195" s="5">
        <v>45646</v>
      </c>
      <c r="H195" s="9">
        <f>WEEKNUM(G195,2)</f>
        <v>51</v>
      </c>
      <c r="I195" s="2">
        <f>IF(F195="Thành công", E195-D195, 0)</f>
        <v>680464</v>
      </c>
    </row>
    <row r="196" spans="1:9" ht="14.25" customHeight="1" x14ac:dyDescent="0.3">
      <c r="A196" s="2" t="s">
        <v>218</v>
      </c>
      <c r="B196" s="2" t="s">
        <v>42</v>
      </c>
      <c r="C196" s="2" t="s">
        <v>8</v>
      </c>
      <c r="D196" s="2">
        <v>11616</v>
      </c>
      <c r="E196" s="2">
        <v>1395791</v>
      </c>
      <c r="F196" s="2" t="s">
        <v>4</v>
      </c>
      <c r="G196" s="3">
        <v>45606</v>
      </c>
      <c r="H196" s="9">
        <f>WEEKNUM(G196,2)</f>
        <v>45</v>
      </c>
      <c r="I196" s="2">
        <f>IF(F196="Thành công", E196-D196, 0)</f>
        <v>1384175</v>
      </c>
    </row>
    <row r="197" spans="1:9" ht="14.25" customHeight="1" x14ac:dyDescent="0.3">
      <c r="A197" s="2" t="s">
        <v>219</v>
      </c>
      <c r="B197" s="2" t="s">
        <v>14</v>
      </c>
      <c r="C197" s="2" t="s">
        <v>18</v>
      </c>
      <c r="D197" s="2">
        <v>136299</v>
      </c>
      <c r="E197" s="2">
        <v>1549146</v>
      </c>
      <c r="F197" s="2" t="s">
        <v>4</v>
      </c>
      <c r="G197" s="5">
        <v>45609</v>
      </c>
      <c r="H197" s="9">
        <f>WEEKNUM(G197,2)</f>
        <v>46</v>
      </c>
      <c r="I197" s="2">
        <f>IF(F197="Thành công", E197-D197, 0)</f>
        <v>1412847</v>
      </c>
    </row>
    <row r="198" spans="1:9" ht="14.25" customHeight="1" x14ac:dyDescent="0.3">
      <c r="A198" s="2" t="s">
        <v>220</v>
      </c>
      <c r="B198" s="2" t="s">
        <v>14</v>
      </c>
      <c r="C198" s="2" t="s">
        <v>35</v>
      </c>
      <c r="D198" s="2">
        <v>50061</v>
      </c>
      <c r="E198" s="2">
        <v>213241</v>
      </c>
      <c r="F198" s="2" t="s">
        <v>4</v>
      </c>
      <c r="G198" s="3">
        <v>45608</v>
      </c>
      <c r="H198" s="9">
        <f>WEEKNUM(G198,2)</f>
        <v>46</v>
      </c>
      <c r="I198" s="2">
        <f>IF(F198="Thành công", E198-D198, 0)</f>
        <v>163180</v>
      </c>
    </row>
    <row r="199" spans="1:9" ht="14.25" customHeight="1" x14ac:dyDescent="0.3">
      <c r="A199" s="2" t="s">
        <v>221</v>
      </c>
      <c r="B199" s="2" t="s">
        <v>14</v>
      </c>
      <c r="C199" s="2" t="s">
        <v>18</v>
      </c>
      <c r="D199" s="2">
        <v>125641</v>
      </c>
      <c r="E199" s="2">
        <v>1666819</v>
      </c>
      <c r="F199" s="2" t="s">
        <v>4</v>
      </c>
      <c r="G199" s="3">
        <v>45484</v>
      </c>
      <c r="H199" s="9">
        <f>WEEKNUM(G199,2)</f>
        <v>28</v>
      </c>
      <c r="I199" s="2">
        <f>IF(F199="Thành công", E199-D199, 0)</f>
        <v>1541178</v>
      </c>
    </row>
    <row r="200" spans="1:9" ht="14.25" customHeight="1" x14ac:dyDescent="0.3">
      <c r="A200" s="2" t="s">
        <v>222</v>
      </c>
      <c r="B200" s="2" t="s">
        <v>7</v>
      </c>
      <c r="C200" s="2" t="s">
        <v>12</v>
      </c>
      <c r="D200" s="2">
        <v>16688</v>
      </c>
      <c r="E200" s="2">
        <v>0</v>
      </c>
      <c r="F200" s="2" t="s">
        <v>5</v>
      </c>
      <c r="G200" s="5">
        <v>45648</v>
      </c>
      <c r="H200" s="9">
        <f>WEEKNUM(G200,2)</f>
        <v>51</v>
      </c>
      <c r="I200" s="2">
        <f>IF(F200="Thành công", E200-D200, 0)</f>
        <v>0</v>
      </c>
    </row>
    <row r="201" spans="1:9" ht="14.25" customHeight="1" x14ac:dyDescent="0.3">
      <c r="A201" s="2" t="s">
        <v>223</v>
      </c>
      <c r="B201" s="2" t="s">
        <v>22</v>
      </c>
      <c r="C201" s="2" t="s">
        <v>31</v>
      </c>
      <c r="D201" s="2">
        <v>36267</v>
      </c>
      <c r="E201" s="2">
        <v>1620876</v>
      </c>
      <c r="F201" s="2" t="s">
        <v>4</v>
      </c>
      <c r="G201" s="5">
        <v>45644</v>
      </c>
      <c r="H201" s="9">
        <f>WEEKNUM(G201,2)</f>
        <v>51</v>
      </c>
      <c r="I201" s="2">
        <f>IF(F201="Thành công", E201-D201, 0)</f>
        <v>1584609</v>
      </c>
    </row>
    <row r="202" spans="1:9" ht="14.25" customHeight="1" x14ac:dyDescent="0.3">
      <c r="A202" s="2" t="s">
        <v>224</v>
      </c>
      <c r="B202" s="2" t="s">
        <v>7</v>
      </c>
      <c r="C202" s="2" t="s">
        <v>35</v>
      </c>
      <c r="D202" s="2">
        <v>64001</v>
      </c>
      <c r="E202" s="2">
        <v>768516</v>
      </c>
      <c r="F202" s="2" t="s">
        <v>4</v>
      </c>
      <c r="G202" s="3">
        <v>45545</v>
      </c>
      <c r="H202" s="9">
        <f>WEEKNUM(G202,2)</f>
        <v>37</v>
      </c>
      <c r="I202" s="2">
        <f>IF(F202="Thành công", E202-D202, 0)</f>
        <v>704515</v>
      </c>
    </row>
    <row r="203" spans="1:9" ht="14.25" customHeight="1" x14ac:dyDescent="0.3">
      <c r="A203" s="2" t="s">
        <v>225</v>
      </c>
      <c r="B203" s="2" t="s">
        <v>17</v>
      </c>
      <c r="C203" s="2" t="s">
        <v>74</v>
      </c>
      <c r="D203" s="2">
        <v>10759</v>
      </c>
      <c r="E203" s="2">
        <v>1096330</v>
      </c>
      <c r="F203" s="2" t="s">
        <v>4</v>
      </c>
      <c r="G203" s="5">
        <v>45596</v>
      </c>
      <c r="H203" s="9">
        <f>WEEKNUM(G203,2)</f>
        <v>44</v>
      </c>
      <c r="I203" s="2">
        <f>IF(F203="Thành công", E203-D203, 0)</f>
        <v>1085571</v>
      </c>
    </row>
    <row r="204" spans="1:9" ht="14.25" customHeight="1" x14ac:dyDescent="0.3">
      <c r="A204" s="2" t="s">
        <v>226</v>
      </c>
      <c r="B204" s="2" t="s">
        <v>7</v>
      </c>
      <c r="C204" s="2" t="s">
        <v>8</v>
      </c>
      <c r="D204" s="2">
        <v>137818</v>
      </c>
      <c r="E204" s="2">
        <v>1370470</v>
      </c>
      <c r="F204" s="2" t="s">
        <v>4</v>
      </c>
      <c r="G204" s="3">
        <v>45606</v>
      </c>
      <c r="H204" s="9">
        <f>WEEKNUM(G204,2)</f>
        <v>45</v>
      </c>
      <c r="I204" s="2">
        <f>IF(F204="Thành công", E204-D204, 0)</f>
        <v>1232652</v>
      </c>
    </row>
    <row r="205" spans="1:9" ht="14.25" customHeight="1" x14ac:dyDescent="0.3">
      <c r="A205" s="2" t="s">
        <v>227</v>
      </c>
      <c r="B205" s="2" t="s">
        <v>46</v>
      </c>
      <c r="C205" s="2" t="s">
        <v>18</v>
      </c>
      <c r="D205" s="2">
        <v>92475</v>
      </c>
      <c r="E205" s="2">
        <v>1088148</v>
      </c>
      <c r="F205" s="2" t="s">
        <v>4</v>
      </c>
      <c r="G205" s="5">
        <v>45649</v>
      </c>
      <c r="H205" s="9">
        <f>WEEKNUM(G205,2)</f>
        <v>52</v>
      </c>
      <c r="I205" s="2">
        <f>IF(F205="Thành công", E205-D205, 0)</f>
        <v>995673</v>
      </c>
    </row>
    <row r="206" spans="1:9" ht="14.25" customHeight="1" x14ac:dyDescent="0.3">
      <c r="A206" s="2" t="s">
        <v>228</v>
      </c>
      <c r="B206" s="2" t="s">
        <v>7</v>
      </c>
      <c r="C206" s="2" t="s">
        <v>8</v>
      </c>
      <c r="D206" s="2">
        <v>142022</v>
      </c>
      <c r="E206" s="2">
        <v>0</v>
      </c>
      <c r="F206" s="2" t="s">
        <v>5</v>
      </c>
      <c r="G206" s="3">
        <v>45606</v>
      </c>
      <c r="H206" s="9">
        <f>WEEKNUM(G206,2)</f>
        <v>45</v>
      </c>
      <c r="I206" s="2">
        <f>IF(F206="Thành công", E206-D206, 0)</f>
        <v>0</v>
      </c>
    </row>
    <row r="207" spans="1:9" ht="14.25" customHeight="1" x14ac:dyDescent="0.3">
      <c r="A207" s="2" t="s">
        <v>229</v>
      </c>
      <c r="B207" s="2" t="s">
        <v>42</v>
      </c>
      <c r="C207" s="2" t="s">
        <v>31</v>
      </c>
      <c r="D207" s="2">
        <v>34063</v>
      </c>
      <c r="E207" s="2">
        <v>1312051</v>
      </c>
      <c r="F207" s="2" t="s">
        <v>4</v>
      </c>
      <c r="G207" s="3">
        <v>45454</v>
      </c>
      <c r="H207" s="9">
        <f>WEEKNUM(G207,2)</f>
        <v>24</v>
      </c>
      <c r="I207" s="2">
        <f>IF(F207="Thành công", E207-D207, 0)</f>
        <v>1277988</v>
      </c>
    </row>
    <row r="208" spans="1:9" ht="14.25" customHeight="1" x14ac:dyDescent="0.3">
      <c r="A208" s="2" t="s">
        <v>230</v>
      </c>
      <c r="B208" s="2" t="s">
        <v>22</v>
      </c>
      <c r="C208" s="2" t="s">
        <v>8</v>
      </c>
      <c r="D208" s="2">
        <v>36635</v>
      </c>
      <c r="E208" s="2">
        <v>0</v>
      </c>
      <c r="F208" s="2" t="s">
        <v>5</v>
      </c>
      <c r="G208" s="5">
        <v>45655</v>
      </c>
      <c r="H208" s="9">
        <f>WEEKNUM(G208,2)</f>
        <v>52</v>
      </c>
      <c r="I208" s="2">
        <f>IF(F208="Thành công", E208-D208, 0)</f>
        <v>0</v>
      </c>
    </row>
    <row r="209" spans="1:9" ht="14.25" customHeight="1" x14ac:dyDescent="0.3">
      <c r="A209" s="2" t="s">
        <v>231</v>
      </c>
      <c r="B209" s="2" t="s">
        <v>29</v>
      </c>
      <c r="C209" s="2" t="s">
        <v>12</v>
      </c>
      <c r="D209" s="2">
        <v>16828</v>
      </c>
      <c r="E209" s="2">
        <v>888387</v>
      </c>
      <c r="F209" s="2" t="s">
        <v>4</v>
      </c>
      <c r="G209" s="3">
        <v>45484</v>
      </c>
      <c r="H209" s="9">
        <f>WEEKNUM(G209,2)</f>
        <v>28</v>
      </c>
      <c r="I209" s="2">
        <f>IF(F209="Thành công", E209-D209, 0)</f>
        <v>871559</v>
      </c>
    </row>
    <row r="210" spans="1:9" ht="14.25" customHeight="1" x14ac:dyDescent="0.3">
      <c r="A210" s="2" t="s">
        <v>232</v>
      </c>
      <c r="B210" s="2" t="s">
        <v>27</v>
      </c>
      <c r="C210" s="2" t="s">
        <v>8</v>
      </c>
      <c r="D210" s="2">
        <v>47307</v>
      </c>
      <c r="E210" s="2">
        <v>0</v>
      </c>
      <c r="F210" s="2" t="s">
        <v>5</v>
      </c>
      <c r="G210" s="5">
        <v>45615</v>
      </c>
      <c r="H210" s="9">
        <f>WEEKNUM(G210,2)</f>
        <v>47</v>
      </c>
      <c r="I210" s="2">
        <f>IF(F210="Thành công", E210-D210, 0)</f>
        <v>0</v>
      </c>
    </row>
    <row r="211" spans="1:9" ht="14.25" customHeight="1" x14ac:dyDescent="0.3">
      <c r="A211" s="2" t="s">
        <v>233</v>
      </c>
      <c r="B211" s="2" t="s">
        <v>14</v>
      </c>
      <c r="C211" s="2" t="s">
        <v>8</v>
      </c>
      <c r="D211" s="2">
        <v>117976</v>
      </c>
      <c r="E211" s="2">
        <v>1498089</v>
      </c>
      <c r="F211" s="2" t="s">
        <v>4</v>
      </c>
      <c r="G211" s="5">
        <v>45641</v>
      </c>
      <c r="H211" s="9">
        <f>WEEKNUM(G211,2)</f>
        <v>50</v>
      </c>
      <c r="I211" s="2">
        <f>IF(F211="Thành công", E211-D211, 0)</f>
        <v>1380113</v>
      </c>
    </row>
    <row r="212" spans="1:9" ht="14.25" customHeight="1" x14ac:dyDescent="0.3">
      <c r="A212" s="2" t="s">
        <v>234</v>
      </c>
      <c r="B212" s="2" t="s">
        <v>46</v>
      </c>
      <c r="C212" s="2" t="s">
        <v>74</v>
      </c>
      <c r="D212" s="2">
        <v>12346</v>
      </c>
      <c r="E212" s="2">
        <v>639939</v>
      </c>
      <c r="F212" s="2" t="s">
        <v>4</v>
      </c>
      <c r="G212" s="5">
        <v>45624</v>
      </c>
      <c r="H212" s="9">
        <f>WEEKNUM(G212,2)</f>
        <v>48</v>
      </c>
      <c r="I212" s="2">
        <f>IF(F212="Thành công", E212-D212, 0)</f>
        <v>627593</v>
      </c>
    </row>
    <row r="213" spans="1:9" ht="14.25" customHeight="1" x14ac:dyDescent="0.3">
      <c r="A213" s="2" t="s">
        <v>235</v>
      </c>
      <c r="B213" s="2" t="s">
        <v>42</v>
      </c>
      <c r="C213" s="2" t="s">
        <v>20</v>
      </c>
      <c r="D213" s="2">
        <v>41116</v>
      </c>
      <c r="E213" s="2">
        <v>1000737</v>
      </c>
      <c r="F213" s="2" t="s">
        <v>4</v>
      </c>
      <c r="G213" s="5">
        <v>45647</v>
      </c>
      <c r="H213" s="9">
        <f>WEEKNUM(G213,2)</f>
        <v>51</v>
      </c>
      <c r="I213" s="2">
        <f>IF(F213="Thành công", E213-D213, 0)</f>
        <v>959621</v>
      </c>
    </row>
    <row r="214" spans="1:9" ht="14.25" customHeight="1" x14ac:dyDescent="0.3">
      <c r="A214" s="2" t="s">
        <v>236</v>
      </c>
      <c r="B214" s="2" t="s">
        <v>29</v>
      </c>
      <c r="C214" s="2" t="s">
        <v>31</v>
      </c>
      <c r="D214" s="2">
        <v>55402</v>
      </c>
      <c r="E214" s="2">
        <v>0</v>
      </c>
      <c r="F214" s="2" t="s">
        <v>5</v>
      </c>
      <c r="G214" s="3">
        <v>45637</v>
      </c>
      <c r="H214" s="9">
        <f>WEEKNUM(G214,2)</f>
        <v>50</v>
      </c>
      <c r="I214" s="2">
        <f>IF(F214="Thành công", E214-D214, 0)</f>
        <v>0</v>
      </c>
    </row>
    <row r="215" spans="1:9" ht="14.25" customHeight="1" x14ac:dyDescent="0.3">
      <c r="A215" s="2" t="s">
        <v>237</v>
      </c>
      <c r="B215" s="2" t="s">
        <v>14</v>
      </c>
      <c r="C215" s="2" t="s">
        <v>20</v>
      </c>
      <c r="D215" s="2">
        <v>107008</v>
      </c>
      <c r="E215" s="2">
        <v>235642</v>
      </c>
      <c r="F215" s="2" t="s">
        <v>4</v>
      </c>
      <c r="G215" s="3">
        <v>45454</v>
      </c>
      <c r="H215" s="9">
        <f>WEEKNUM(G215,2)</f>
        <v>24</v>
      </c>
      <c r="I215" s="2">
        <f>IF(F215="Thành công", E215-D215, 0)</f>
        <v>128634</v>
      </c>
    </row>
    <row r="216" spans="1:9" ht="14.25" customHeight="1" x14ac:dyDescent="0.3">
      <c r="A216" s="2" t="s">
        <v>238</v>
      </c>
      <c r="B216" s="2" t="s">
        <v>14</v>
      </c>
      <c r="C216" s="2" t="s">
        <v>31</v>
      </c>
      <c r="D216" s="2">
        <v>2965</v>
      </c>
      <c r="E216" s="2">
        <v>547359</v>
      </c>
      <c r="F216" s="2" t="s">
        <v>4</v>
      </c>
      <c r="G216" s="3">
        <v>45545</v>
      </c>
      <c r="H216" s="9">
        <f>WEEKNUM(G216,2)</f>
        <v>37</v>
      </c>
      <c r="I216" s="2">
        <f>IF(F216="Thành công", E216-D216, 0)</f>
        <v>544394</v>
      </c>
    </row>
    <row r="217" spans="1:9" ht="14.25" customHeight="1" x14ac:dyDescent="0.3">
      <c r="A217" s="2" t="s">
        <v>239</v>
      </c>
      <c r="B217" s="2" t="s">
        <v>46</v>
      </c>
      <c r="C217" s="2" t="s">
        <v>74</v>
      </c>
      <c r="D217" s="2">
        <v>16944</v>
      </c>
      <c r="E217" s="2">
        <v>0</v>
      </c>
      <c r="F217" s="2" t="s">
        <v>5</v>
      </c>
      <c r="G217" s="5">
        <v>45619</v>
      </c>
      <c r="H217" s="9">
        <f>WEEKNUM(G217,2)</f>
        <v>47</v>
      </c>
      <c r="I217" s="2">
        <f>IF(F217="Thành công", E217-D217, 0)</f>
        <v>0</v>
      </c>
    </row>
    <row r="218" spans="1:9" ht="14.25" customHeight="1" x14ac:dyDescent="0.3">
      <c r="A218" s="2" t="s">
        <v>240</v>
      </c>
      <c r="B218" s="2" t="s">
        <v>17</v>
      </c>
      <c r="C218" s="2" t="s">
        <v>20</v>
      </c>
      <c r="D218" s="2">
        <v>9671</v>
      </c>
      <c r="E218" s="2">
        <v>1282430</v>
      </c>
      <c r="F218" s="2" t="s">
        <v>4</v>
      </c>
      <c r="G218" s="5">
        <v>45615</v>
      </c>
      <c r="H218" s="9">
        <f>WEEKNUM(G218,2)</f>
        <v>47</v>
      </c>
      <c r="I218" s="2">
        <f>IF(F218="Thành công", E218-D218, 0)</f>
        <v>1272759</v>
      </c>
    </row>
    <row r="219" spans="1:9" ht="14.25" customHeight="1" x14ac:dyDescent="0.3">
      <c r="A219" s="2" t="s">
        <v>241</v>
      </c>
      <c r="B219" s="2" t="s">
        <v>46</v>
      </c>
      <c r="C219" s="2" t="s">
        <v>74</v>
      </c>
      <c r="D219" s="2">
        <v>8018</v>
      </c>
      <c r="E219" s="2">
        <v>690093</v>
      </c>
      <c r="F219" s="2" t="s">
        <v>4</v>
      </c>
      <c r="G219" s="3">
        <v>45394</v>
      </c>
      <c r="H219" s="9">
        <f>WEEKNUM(G219,2)</f>
        <v>15</v>
      </c>
      <c r="I219" s="2">
        <f>IF(F219="Thành công", E219-D219, 0)</f>
        <v>682075</v>
      </c>
    </row>
    <row r="220" spans="1:9" ht="14.25" customHeight="1" x14ac:dyDescent="0.3">
      <c r="A220" s="2" t="s">
        <v>242</v>
      </c>
      <c r="B220" s="2" t="s">
        <v>7</v>
      </c>
      <c r="C220" s="2" t="s">
        <v>31</v>
      </c>
      <c r="D220" s="2">
        <v>77101</v>
      </c>
      <c r="E220" s="2">
        <v>221397</v>
      </c>
      <c r="F220" s="2" t="s">
        <v>4</v>
      </c>
      <c r="G220" s="5">
        <v>45643</v>
      </c>
      <c r="H220" s="9">
        <f>WEEKNUM(G220,2)</f>
        <v>51</v>
      </c>
      <c r="I220" s="2">
        <f>IF(F220="Thành công", E220-D220, 0)</f>
        <v>144296</v>
      </c>
    </row>
    <row r="221" spans="1:9" ht="14.25" customHeight="1" x14ac:dyDescent="0.3">
      <c r="A221" s="2" t="s">
        <v>243</v>
      </c>
      <c r="B221" s="2" t="s">
        <v>7</v>
      </c>
      <c r="C221" s="2" t="s">
        <v>23</v>
      </c>
      <c r="D221" s="2">
        <v>178017</v>
      </c>
      <c r="E221" s="2">
        <v>0</v>
      </c>
      <c r="F221" s="2" t="s">
        <v>5</v>
      </c>
      <c r="G221" s="5">
        <v>45655</v>
      </c>
      <c r="H221" s="9">
        <f>WEEKNUM(G221,2)</f>
        <v>52</v>
      </c>
      <c r="I221" s="2">
        <f>IF(F221="Thành công", E221-D221, 0)</f>
        <v>0</v>
      </c>
    </row>
    <row r="222" spans="1:9" ht="14.25" customHeight="1" x14ac:dyDescent="0.3">
      <c r="A222" s="2" t="s">
        <v>244</v>
      </c>
      <c r="B222" s="2" t="s">
        <v>42</v>
      </c>
      <c r="C222" s="2" t="s">
        <v>74</v>
      </c>
      <c r="D222" s="2">
        <v>8971</v>
      </c>
      <c r="E222" s="2">
        <v>1929340</v>
      </c>
      <c r="F222" s="2" t="s">
        <v>4</v>
      </c>
      <c r="G222" s="3">
        <v>45363</v>
      </c>
      <c r="H222" s="9">
        <f>WEEKNUM(G222,2)</f>
        <v>11</v>
      </c>
      <c r="I222" s="2">
        <f>IF(F222="Thành công", E222-D222, 0)</f>
        <v>1920369</v>
      </c>
    </row>
    <row r="223" spans="1:9" ht="14.25" customHeight="1" x14ac:dyDescent="0.3">
      <c r="A223" s="2" t="s">
        <v>245</v>
      </c>
      <c r="B223" s="2" t="s">
        <v>7</v>
      </c>
      <c r="C223" s="2" t="s">
        <v>74</v>
      </c>
      <c r="D223" s="2">
        <v>13871</v>
      </c>
      <c r="E223" s="2">
        <v>490688</v>
      </c>
      <c r="F223" s="2" t="s">
        <v>4</v>
      </c>
      <c r="G223" s="3">
        <v>45392</v>
      </c>
      <c r="H223" s="9">
        <f>WEEKNUM(G223,2)</f>
        <v>15</v>
      </c>
      <c r="I223" s="2">
        <f>IF(F223="Thành công", E223-D223, 0)</f>
        <v>476817</v>
      </c>
    </row>
    <row r="224" spans="1:9" ht="14.25" customHeight="1" x14ac:dyDescent="0.3">
      <c r="A224" s="2" t="s">
        <v>246</v>
      </c>
      <c r="B224" s="2" t="s">
        <v>42</v>
      </c>
      <c r="C224" s="2" t="s">
        <v>35</v>
      </c>
      <c r="D224" s="2">
        <v>63761</v>
      </c>
      <c r="E224" s="2">
        <v>1853012</v>
      </c>
      <c r="F224" s="2" t="s">
        <v>4</v>
      </c>
      <c r="G224" s="5">
        <v>45626</v>
      </c>
      <c r="H224" s="9">
        <f>WEEKNUM(G224,2)</f>
        <v>48</v>
      </c>
      <c r="I224" s="2">
        <f>IF(F224="Thành công", E224-D224, 0)</f>
        <v>1789251</v>
      </c>
    </row>
    <row r="225" spans="1:9" ht="14.25" customHeight="1" x14ac:dyDescent="0.3">
      <c r="A225" s="2" t="s">
        <v>247</v>
      </c>
      <c r="B225" s="2" t="s">
        <v>42</v>
      </c>
      <c r="C225" s="2" t="s">
        <v>8</v>
      </c>
      <c r="D225" s="2">
        <v>132653</v>
      </c>
      <c r="E225" s="2">
        <v>1471221</v>
      </c>
      <c r="F225" s="2" t="s">
        <v>4</v>
      </c>
      <c r="G225" s="3">
        <v>45333</v>
      </c>
      <c r="H225" s="9">
        <f>WEEKNUM(G225,2)</f>
        <v>6</v>
      </c>
      <c r="I225" s="2">
        <f>IF(F225="Thành công", E225-D225, 0)</f>
        <v>1338568</v>
      </c>
    </row>
    <row r="226" spans="1:9" ht="14.25" customHeight="1" x14ac:dyDescent="0.3">
      <c r="A226" s="2" t="s">
        <v>248</v>
      </c>
      <c r="B226" s="2" t="s">
        <v>10</v>
      </c>
      <c r="C226" s="2" t="s">
        <v>35</v>
      </c>
      <c r="D226" s="2">
        <v>51192</v>
      </c>
      <c r="E226" s="2">
        <v>0</v>
      </c>
      <c r="F226" s="2" t="s">
        <v>5</v>
      </c>
      <c r="G226" s="5">
        <v>45595</v>
      </c>
      <c r="H226" s="9">
        <f>WEEKNUM(G226,2)</f>
        <v>44</v>
      </c>
      <c r="I226" s="2">
        <f>IF(F226="Thành công", E226-D226, 0)</f>
        <v>0</v>
      </c>
    </row>
    <row r="227" spans="1:9" ht="14.25" customHeight="1" x14ac:dyDescent="0.3">
      <c r="A227" s="2" t="s">
        <v>249</v>
      </c>
      <c r="B227" s="2" t="s">
        <v>17</v>
      </c>
      <c r="C227" s="2" t="s">
        <v>8</v>
      </c>
      <c r="D227" s="2">
        <v>50548</v>
      </c>
      <c r="E227" s="2">
        <v>0</v>
      </c>
      <c r="F227" s="2" t="s">
        <v>5</v>
      </c>
      <c r="G227" s="3">
        <v>45362</v>
      </c>
      <c r="H227" s="9">
        <f>WEEKNUM(G227,2)</f>
        <v>11</v>
      </c>
      <c r="I227" s="2">
        <f>IF(F227="Thành công", E227-D227, 0)</f>
        <v>0</v>
      </c>
    </row>
    <row r="228" spans="1:9" ht="14.25" customHeight="1" x14ac:dyDescent="0.3">
      <c r="A228" s="2" t="s">
        <v>250</v>
      </c>
      <c r="B228" s="2" t="s">
        <v>14</v>
      </c>
      <c r="C228" s="2" t="s">
        <v>8</v>
      </c>
      <c r="D228" s="2">
        <v>64674</v>
      </c>
      <c r="E228" s="2">
        <v>1498918</v>
      </c>
      <c r="F228" s="2" t="s">
        <v>4</v>
      </c>
      <c r="G228" s="5">
        <v>45610</v>
      </c>
      <c r="H228" s="9">
        <f>WEEKNUM(G228,2)</f>
        <v>46</v>
      </c>
      <c r="I228" s="2">
        <f>IF(F228="Thành công", E228-D228, 0)</f>
        <v>1434244</v>
      </c>
    </row>
    <row r="229" spans="1:9" ht="14.25" customHeight="1" x14ac:dyDescent="0.3">
      <c r="A229" s="2" t="s">
        <v>251</v>
      </c>
      <c r="B229" s="2" t="s">
        <v>7</v>
      </c>
      <c r="C229" s="2" t="s">
        <v>35</v>
      </c>
      <c r="D229" s="2">
        <v>60778</v>
      </c>
      <c r="E229" s="2">
        <v>343359</v>
      </c>
      <c r="F229" s="2" t="s">
        <v>4</v>
      </c>
      <c r="G229" s="5">
        <v>45647</v>
      </c>
      <c r="H229" s="9">
        <f>WEEKNUM(G229,2)</f>
        <v>51</v>
      </c>
      <c r="I229" s="2">
        <f>IF(F229="Thành công", E229-D229, 0)</f>
        <v>282581</v>
      </c>
    </row>
    <row r="230" spans="1:9" ht="14.25" customHeight="1" x14ac:dyDescent="0.3">
      <c r="A230" s="2" t="s">
        <v>252</v>
      </c>
      <c r="B230" s="2" t="s">
        <v>7</v>
      </c>
      <c r="C230" s="2" t="s">
        <v>74</v>
      </c>
      <c r="D230" s="2">
        <v>11604</v>
      </c>
      <c r="E230" s="2">
        <v>0</v>
      </c>
      <c r="F230" s="2" t="s">
        <v>5</v>
      </c>
      <c r="G230" s="3">
        <v>45424</v>
      </c>
      <c r="H230" s="9">
        <f>WEEKNUM(G230,2)</f>
        <v>19</v>
      </c>
      <c r="I230" s="2">
        <f>IF(F230="Thành công", E230-D230, 0)</f>
        <v>0</v>
      </c>
    </row>
    <row r="231" spans="1:9" ht="14.25" customHeight="1" x14ac:dyDescent="0.3">
      <c r="A231" s="2" t="s">
        <v>253</v>
      </c>
      <c r="B231" s="2" t="s">
        <v>7</v>
      </c>
      <c r="C231" s="2" t="s">
        <v>12</v>
      </c>
      <c r="D231" s="2">
        <v>13017</v>
      </c>
      <c r="E231" s="2">
        <v>1326716</v>
      </c>
      <c r="F231" s="2" t="s">
        <v>4</v>
      </c>
      <c r="G231" s="3">
        <v>45576</v>
      </c>
      <c r="H231" s="9">
        <f>WEEKNUM(G231,2)</f>
        <v>41</v>
      </c>
      <c r="I231" s="2">
        <f>IF(F231="Thành công", E231-D231, 0)</f>
        <v>1313699</v>
      </c>
    </row>
    <row r="232" spans="1:9" ht="14.25" customHeight="1" x14ac:dyDescent="0.3">
      <c r="A232" s="2" t="s">
        <v>254</v>
      </c>
      <c r="B232" s="2" t="s">
        <v>17</v>
      </c>
      <c r="C232" s="2" t="s">
        <v>74</v>
      </c>
      <c r="D232" s="2">
        <v>12734</v>
      </c>
      <c r="E232" s="2">
        <v>534079</v>
      </c>
      <c r="F232" s="2" t="s">
        <v>4</v>
      </c>
      <c r="G232" s="3">
        <v>45362</v>
      </c>
      <c r="H232" s="9">
        <f>WEEKNUM(G232,2)</f>
        <v>11</v>
      </c>
      <c r="I232" s="2">
        <f>IF(F232="Thành công", E232-D232, 0)</f>
        <v>521345</v>
      </c>
    </row>
    <row r="233" spans="1:9" ht="14.25" customHeight="1" x14ac:dyDescent="0.3">
      <c r="A233" s="2" t="s">
        <v>255</v>
      </c>
      <c r="B233" s="2" t="s">
        <v>14</v>
      </c>
      <c r="C233" s="2" t="s">
        <v>20</v>
      </c>
      <c r="D233" s="2">
        <v>137446</v>
      </c>
      <c r="E233" s="2">
        <v>795519</v>
      </c>
      <c r="F233" s="2" t="s">
        <v>4</v>
      </c>
      <c r="G233" s="5">
        <v>45621</v>
      </c>
      <c r="H233" s="9">
        <f>WEEKNUM(G233,2)</f>
        <v>48</v>
      </c>
      <c r="I233" s="2">
        <f>IF(F233="Thành công", E233-D233, 0)</f>
        <v>658073</v>
      </c>
    </row>
    <row r="234" spans="1:9" ht="14.25" customHeight="1" x14ac:dyDescent="0.3">
      <c r="A234" s="2" t="s">
        <v>256</v>
      </c>
      <c r="B234" s="2" t="s">
        <v>17</v>
      </c>
      <c r="C234" s="2" t="s">
        <v>31</v>
      </c>
      <c r="D234" s="2">
        <v>52637</v>
      </c>
      <c r="E234" s="2">
        <v>1362343</v>
      </c>
      <c r="F234" s="2" t="s">
        <v>4</v>
      </c>
      <c r="G234" s="5">
        <v>45622</v>
      </c>
      <c r="H234" s="9">
        <f>WEEKNUM(G234,2)</f>
        <v>48</v>
      </c>
      <c r="I234" s="2">
        <f>IF(F234="Thành công", E234-D234, 0)</f>
        <v>1309706</v>
      </c>
    </row>
    <row r="235" spans="1:9" ht="14.25" customHeight="1" x14ac:dyDescent="0.3">
      <c r="A235" s="2" t="s">
        <v>257</v>
      </c>
      <c r="B235" s="2" t="s">
        <v>17</v>
      </c>
      <c r="C235" s="2" t="s">
        <v>20</v>
      </c>
      <c r="D235" s="2">
        <v>83262</v>
      </c>
      <c r="E235" s="2">
        <v>933960</v>
      </c>
      <c r="F235" s="2" t="s">
        <v>4</v>
      </c>
      <c r="G235" s="3">
        <v>45394</v>
      </c>
      <c r="H235" s="9">
        <f>WEEKNUM(G235,2)</f>
        <v>15</v>
      </c>
      <c r="I235" s="2">
        <f>IF(F235="Thành công", E235-D235, 0)</f>
        <v>850698</v>
      </c>
    </row>
    <row r="236" spans="1:9" ht="14.25" customHeight="1" x14ac:dyDescent="0.3">
      <c r="A236" s="2" t="s">
        <v>258</v>
      </c>
      <c r="B236" s="2" t="s">
        <v>29</v>
      </c>
      <c r="C236" s="2" t="s">
        <v>18</v>
      </c>
      <c r="D236" s="2">
        <v>193967</v>
      </c>
      <c r="E236" s="2">
        <v>0</v>
      </c>
      <c r="F236" s="2" t="s">
        <v>5</v>
      </c>
      <c r="G236" s="3">
        <v>45608</v>
      </c>
      <c r="H236" s="9">
        <f>WEEKNUM(G236,2)</f>
        <v>46</v>
      </c>
      <c r="I236" s="2">
        <f>IF(F236="Thành công", E236-D236, 0)</f>
        <v>0</v>
      </c>
    </row>
    <row r="237" spans="1:9" ht="14.25" customHeight="1" x14ac:dyDescent="0.3">
      <c r="A237" s="2" t="s">
        <v>259</v>
      </c>
      <c r="B237" s="2" t="s">
        <v>42</v>
      </c>
      <c r="C237" s="2" t="s">
        <v>74</v>
      </c>
      <c r="D237" s="2">
        <v>24235</v>
      </c>
      <c r="E237" s="2">
        <v>632774</v>
      </c>
      <c r="F237" s="2" t="s">
        <v>4</v>
      </c>
      <c r="G237" s="5">
        <v>45657</v>
      </c>
      <c r="H237" s="9">
        <f>WEEKNUM(G237,2)</f>
        <v>53</v>
      </c>
      <c r="I237" s="2">
        <f>IF(F237="Thành công", E237-D237, 0)</f>
        <v>608539</v>
      </c>
    </row>
    <row r="238" spans="1:9" ht="14.25" customHeight="1" x14ac:dyDescent="0.3">
      <c r="A238" s="2" t="s">
        <v>260</v>
      </c>
      <c r="B238" s="2" t="s">
        <v>17</v>
      </c>
      <c r="C238" s="2" t="s">
        <v>20</v>
      </c>
      <c r="D238" s="2">
        <v>112461</v>
      </c>
      <c r="E238" s="2">
        <v>0</v>
      </c>
      <c r="F238" s="2" t="s">
        <v>5</v>
      </c>
      <c r="G238" s="5">
        <v>45579</v>
      </c>
      <c r="H238" s="9">
        <f>WEEKNUM(G238,2)</f>
        <v>42</v>
      </c>
      <c r="I238" s="2">
        <f>IF(F238="Thành công", E238-D238, 0)</f>
        <v>0</v>
      </c>
    </row>
    <row r="239" spans="1:9" ht="14.25" customHeight="1" x14ac:dyDescent="0.3">
      <c r="A239" s="2" t="s">
        <v>261</v>
      </c>
      <c r="B239" s="2" t="s">
        <v>22</v>
      </c>
      <c r="C239" s="2" t="s">
        <v>8</v>
      </c>
      <c r="D239" s="2">
        <v>98813</v>
      </c>
      <c r="E239" s="2">
        <v>487195</v>
      </c>
      <c r="F239" s="2" t="s">
        <v>4</v>
      </c>
      <c r="G239" s="5">
        <v>45616</v>
      </c>
      <c r="H239" s="9">
        <f>WEEKNUM(G239,2)</f>
        <v>47</v>
      </c>
      <c r="I239" s="2">
        <f>IF(F239="Thành công", E239-D239, 0)</f>
        <v>388382</v>
      </c>
    </row>
    <row r="240" spans="1:9" ht="14.25" customHeight="1" x14ac:dyDescent="0.3">
      <c r="A240" s="2" t="s">
        <v>262</v>
      </c>
      <c r="B240" s="2" t="s">
        <v>10</v>
      </c>
      <c r="C240" s="2" t="s">
        <v>12</v>
      </c>
      <c r="D240" s="2">
        <v>24371</v>
      </c>
      <c r="E240" s="2">
        <v>627308</v>
      </c>
      <c r="F240" s="2" t="s">
        <v>4</v>
      </c>
      <c r="G240" s="5">
        <v>45610</v>
      </c>
      <c r="H240" s="9">
        <f>WEEKNUM(G240,2)</f>
        <v>46</v>
      </c>
      <c r="I240" s="2">
        <f>IF(F240="Thành công", E240-D240, 0)</f>
        <v>602937</v>
      </c>
    </row>
    <row r="241" spans="1:9" ht="14.25" customHeight="1" x14ac:dyDescent="0.3">
      <c r="A241" s="2" t="s">
        <v>263</v>
      </c>
      <c r="B241" s="2" t="s">
        <v>46</v>
      </c>
      <c r="C241" s="2" t="s">
        <v>20</v>
      </c>
      <c r="D241" s="2">
        <v>141433</v>
      </c>
      <c r="E241" s="2">
        <v>0</v>
      </c>
      <c r="F241" s="2" t="s">
        <v>5</v>
      </c>
      <c r="G241" s="3">
        <v>45575</v>
      </c>
      <c r="H241" s="9">
        <f>WEEKNUM(G241,2)</f>
        <v>41</v>
      </c>
      <c r="I241" s="2">
        <f>IF(F241="Thành công", E241-D241, 0)</f>
        <v>0</v>
      </c>
    </row>
    <row r="242" spans="1:9" ht="14.25" customHeight="1" x14ac:dyDescent="0.3">
      <c r="A242" s="2" t="s">
        <v>264</v>
      </c>
      <c r="B242" s="2" t="s">
        <v>42</v>
      </c>
      <c r="C242" s="2" t="s">
        <v>20</v>
      </c>
      <c r="D242" s="2">
        <v>35425</v>
      </c>
      <c r="E242" s="2">
        <v>818311</v>
      </c>
      <c r="F242" s="2" t="s">
        <v>4</v>
      </c>
      <c r="G242" s="3">
        <v>45608</v>
      </c>
      <c r="H242" s="9">
        <f>WEEKNUM(G242,2)</f>
        <v>46</v>
      </c>
      <c r="I242" s="2">
        <f>IF(F242="Thành công", E242-D242, 0)</f>
        <v>782886</v>
      </c>
    </row>
    <row r="243" spans="1:9" ht="14.25" customHeight="1" x14ac:dyDescent="0.3">
      <c r="A243" s="2" t="s">
        <v>265</v>
      </c>
      <c r="B243" s="2" t="s">
        <v>10</v>
      </c>
      <c r="C243" s="2" t="s">
        <v>31</v>
      </c>
      <c r="D243" s="2">
        <v>43524</v>
      </c>
      <c r="E243" s="2">
        <v>605247</v>
      </c>
      <c r="F243" s="2" t="s">
        <v>4</v>
      </c>
      <c r="G243" s="5">
        <v>45620</v>
      </c>
      <c r="H243" s="9">
        <f>WEEKNUM(G243,2)</f>
        <v>47</v>
      </c>
      <c r="I243" s="2">
        <f>IF(F243="Thành công", E243-D243, 0)</f>
        <v>561723</v>
      </c>
    </row>
    <row r="244" spans="1:9" ht="14.25" customHeight="1" x14ac:dyDescent="0.3">
      <c r="A244" s="2" t="s">
        <v>266</v>
      </c>
      <c r="B244" s="2" t="s">
        <v>25</v>
      </c>
      <c r="C244" s="2" t="s">
        <v>8</v>
      </c>
      <c r="D244" s="2">
        <v>78632</v>
      </c>
      <c r="E244" s="2">
        <v>334657</v>
      </c>
      <c r="F244" s="2" t="s">
        <v>4</v>
      </c>
      <c r="G244" s="5">
        <v>45592</v>
      </c>
      <c r="H244" s="9">
        <f>WEEKNUM(G244,2)</f>
        <v>43</v>
      </c>
      <c r="I244" s="2">
        <f>IF(F244="Thành công", E244-D244, 0)</f>
        <v>256025</v>
      </c>
    </row>
    <row r="245" spans="1:9" ht="14.25" customHeight="1" x14ac:dyDescent="0.3">
      <c r="A245" s="2" t="s">
        <v>267</v>
      </c>
      <c r="B245" s="2" t="s">
        <v>46</v>
      </c>
      <c r="C245" s="2" t="s">
        <v>20</v>
      </c>
      <c r="D245" s="2">
        <v>125696</v>
      </c>
      <c r="E245" s="2">
        <v>1458244</v>
      </c>
      <c r="F245" s="2" t="s">
        <v>4</v>
      </c>
      <c r="G245" s="5">
        <v>45614</v>
      </c>
      <c r="H245" s="9">
        <f>WEEKNUM(G245,2)</f>
        <v>47</v>
      </c>
      <c r="I245" s="2">
        <f>IF(F245="Thành công", E245-D245, 0)</f>
        <v>1332548</v>
      </c>
    </row>
    <row r="246" spans="1:9" ht="14.25" customHeight="1" x14ac:dyDescent="0.3">
      <c r="A246" s="2" t="s">
        <v>268</v>
      </c>
      <c r="B246" s="2" t="s">
        <v>14</v>
      </c>
      <c r="C246" s="2" t="s">
        <v>23</v>
      </c>
      <c r="D246" s="2">
        <v>93455</v>
      </c>
      <c r="E246" s="2">
        <v>1781299</v>
      </c>
      <c r="F246" s="2" t="s">
        <v>4</v>
      </c>
      <c r="G246" s="3">
        <v>45484</v>
      </c>
      <c r="H246" s="9">
        <f>WEEKNUM(G246,2)</f>
        <v>28</v>
      </c>
      <c r="I246" s="2">
        <f>IF(F246="Thành công", E246-D246, 0)</f>
        <v>1687844</v>
      </c>
    </row>
    <row r="247" spans="1:9" ht="14.25" customHeight="1" x14ac:dyDescent="0.3">
      <c r="A247" s="2" t="s">
        <v>269</v>
      </c>
      <c r="B247" s="2" t="s">
        <v>29</v>
      </c>
      <c r="C247" s="2" t="s">
        <v>18</v>
      </c>
      <c r="D247" s="2">
        <v>8855</v>
      </c>
      <c r="E247" s="2">
        <v>1113569</v>
      </c>
      <c r="F247" s="2" t="s">
        <v>4</v>
      </c>
      <c r="G247" s="3">
        <v>45333</v>
      </c>
      <c r="H247" s="9">
        <f>WEEKNUM(G247,2)</f>
        <v>6</v>
      </c>
      <c r="I247" s="2">
        <f>IF(F247="Thành công", E247-D247, 0)</f>
        <v>1104714</v>
      </c>
    </row>
    <row r="248" spans="1:9" ht="14.25" customHeight="1" x14ac:dyDescent="0.3">
      <c r="A248" s="2" t="s">
        <v>270</v>
      </c>
      <c r="B248" s="2" t="s">
        <v>27</v>
      </c>
      <c r="C248" s="2" t="s">
        <v>20</v>
      </c>
      <c r="D248" s="2">
        <v>32015</v>
      </c>
      <c r="E248" s="2">
        <v>1990668</v>
      </c>
      <c r="F248" s="2" t="s">
        <v>4</v>
      </c>
      <c r="G248" s="5">
        <v>45647</v>
      </c>
      <c r="H248" s="9">
        <f>WEEKNUM(G248,2)</f>
        <v>51</v>
      </c>
      <c r="I248" s="2">
        <f>IF(F248="Thành công", E248-D248, 0)</f>
        <v>1958653</v>
      </c>
    </row>
    <row r="249" spans="1:9" ht="14.25" customHeight="1" x14ac:dyDescent="0.3">
      <c r="A249" s="2" t="s">
        <v>271</v>
      </c>
      <c r="B249" s="2" t="s">
        <v>14</v>
      </c>
      <c r="C249" s="2" t="s">
        <v>74</v>
      </c>
      <c r="D249" s="2">
        <v>15935</v>
      </c>
      <c r="E249" s="2">
        <v>457208</v>
      </c>
      <c r="F249" s="2" t="s">
        <v>4</v>
      </c>
      <c r="G249" s="5">
        <v>45586</v>
      </c>
      <c r="H249" s="9">
        <f>WEEKNUM(G249,2)</f>
        <v>43</v>
      </c>
      <c r="I249" s="2">
        <f>IF(F249="Thành công", E249-D249, 0)</f>
        <v>441273</v>
      </c>
    </row>
    <row r="250" spans="1:9" ht="14.25" customHeight="1" x14ac:dyDescent="0.3">
      <c r="A250" s="2" t="s">
        <v>272</v>
      </c>
      <c r="B250" s="2" t="s">
        <v>7</v>
      </c>
      <c r="C250" s="2" t="s">
        <v>74</v>
      </c>
      <c r="D250" s="2">
        <v>9348</v>
      </c>
      <c r="E250" s="2">
        <v>777821</v>
      </c>
      <c r="F250" s="2" t="s">
        <v>4</v>
      </c>
      <c r="G250" s="5">
        <v>45589</v>
      </c>
      <c r="H250" s="9">
        <f>WEEKNUM(G250,2)</f>
        <v>43</v>
      </c>
      <c r="I250" s="2">
        <f>IF(F250="Thành công", E250-D250, 0)</f>
        <v>768473</v>
      </c>
    </row>
    <row r="251" spans="1:9" ht="14.25" customHeight="1" x14ac:dyDescent="0.3">
      <c r="A251" s="2" t="s">
        <v>273</v>
      </c>
      <c r="B251" s="2" t="s">
        <v>17</v>
      </c>
      <c r="C251" s="2" t="s">
        <v>20</v>
      </c>
      <c r="D251" s="2">
        <v>131437</v>
      </c>
      <c r="E251" s="2">
        <v>1925437</v>
      </c>
      <c r="F251" s="2" t="s">
        <v>4</v>
      </c>
      <c r="G251" s="3">
        <v>45577</v>
      </c>
      <c r="H251" s="9">
        <f>WEEKNUM(G251,2)</f>
        <v>41</v>
      </c>
      <c r="I251" s="2">
        <f>IF(F251="Thành công", E251-D251, 0)</f>
        <v>1794000</v>
      </c>
    </row>
    <row r="252" spans="1:9" ht="14.25" customHeight="1" x14ac:dyDescent="0.3">
      <c r="A252" s="2" t="s">
        <v>274</v>
      </c>
      <c r="B252" s="2" t="s">
        <v>10</v>
      </c>
      <c r="C252" s="2" t="s">
        <v>20</v>
      </c>
      <c r="D252" s="2">
        <v>103852</v>
      </c>
      <c r="E252" s="2">
        <v>801143</v>
      </c>
      <c r="F252" s="2" t="s">
        <v>4</v>
      </c>
      <c r="G252" s="3">
        <v>45392</v>
      </c>
      <c r="H252" s="9">
        <f>WEEKNUM(G252,2)</f>
        <v>15</v>
      </c>
      <c r="I252" s="2">
        <f>IF(F252="Thành công", E252-D252, 0)</f>
        <v>697291</v>
      </c>
    </row>
    <row r="253" spans="1:9" ht="14.25" customHeight="1" x14ac:dyDescent="0.3">
      <c r="A253" s="2" t="s">
        <v>275</v>
      </c>
      <c r="B253" s="2" t="s">
        <v>29</v>
      </c>
      <c r="C253" s="2" t="s">
        <v>20</v>
      </c>
      <c r="D253" s="2">
        <v>137039</v>
      </c>
      <c r="E253" s="2">
        <v>1394653</v>
      </c>
      <c r="F253" s="2" t="s">
        <v>4</v>
      </c>
      <c r="G253" s="5">
        <v>45625</v>
      </c>
      <c r="H253" s="9">
        <f>WEEKNUM(G253,2)</f>
        <v>48</v>
      </c>
      <c r="I253" s="2">
        <f>IF(F253="Thành công", E253-D253, 0)</f>
        <v>1257614</v>
      </c>
    </row>
    <row r="254" spans="1:9" ht="14.25" customHeight="1" x14ac:dyDescent="0.3">
      <c r="A254" s="2" t="s">
        <v>276</v>
      </c>
      <c r="B254" s="2" t="s">
        <v>27</v>
      </c>
      <c r="C254" s="2" t="s">
        <v>12</v>
      </c>
      <c r="D254" s="2">
        <v>12063</v>
      </c>
      <c r="E254" s="2">
        <v>1767016</v>
      </c>
      <c r="F254" s="2" t="s">
        <v>4</v>
      </c>
      <c r="G254" s="3">
        <v>45637</v>
      </c>
      <c r="H254" s="9">
        <f>WEEKNUM(G254,2)</f>
        <v>50</v>
      </c>
      <c r="I254" s="2">
        <f>IF(F254="Thành công", E254-D254, 0)</f>
        <v>1754953</v>
      </c>
    </row>
    <row r="255" spans="1:9" ht="14.25" customHeight="1" x14ac:dyDescent="0.3">
      <c r="A255" s="2" t="s">
        <v>277</v>
      </c>
      <c r="B255" s="2" t="s">
        <v>46</v>
      </c>
      <c r="C255" s="2" t="s">
        <v>23</v>
      </c>
      <c r="D255" s="2">
        <v>54038</v>
      </c>
      <c r="E255" s="2">
        <v>444100</v>
      </c>
      <c r="F255" s="2" t="s">
        <v>4</v>
      </c>
      <c r="G255" s="5">
        <v>45610</v>
      </c>
      <c r="H255" s="9">
        <f>WEEKNUM(G255,2)</f>
        <v>46</v>
      </c>
      <c r="I255" s="2">
        <f>IF(F255="Thành công", E255-D255, 0)</f>
        <v>390062</v>
      </c>
    </row>
    <row r="256" spans="1:9" ht="14.25" customHeight="1" x14ac:dyDescent="0.3">
      <c r="A256" s="2" t="s">
        <v>278</v>
      </c>
      <c r="B256" s="2" t="s">
        <v>14</v>
      </c>
      <c r="C256" s="2" t="s">
        <v>23</v>
      </c>
      <c r="D256" s="2">
        <v>199874</v>
      </c>
      <c r="E256" s="2">
        <v>426101</v>
      </c>
      <c r="F256" s="2" t="s">
        <v>4</v>
      </c>
      <c r="G256" s="3">
        <v>45516</v>
      </c>
      <c r="H256" s="9">
        <f>WEEKNUM(G256,2)</f>
        <v>33</v>
      </c>
      <c r="I256" s="2">
        <f>IF(F256="Thành công", E256-D256, 0)</f>
        <v>226227</v>
      </c>
    </row>
    <row r="257" spans="1:9" ht="14.25" customHeight="1" x14ac:dyDescent="0.3">
      <c r="A257" s="2" t="s">
        <v>279</v>
      </c>
      <c r="B257" s="2" t="s">
        <v>22</v>
      </c>
      <c r="C257" s="2" t="s">
        <v>23</v>
      </c>
      <c r="D257" s="2">
        <v>168086</v>
      </c>
      <c r="E257" s="2">
        <v>281511</v>
      </c>
      <c r="F257" s="2" t="s">
        <v>4</v>
      </c>
      <c r="G257" s="3">
        <v>45546</v>
      </c>
      <c r="H257" s="9">
        <f>WEEKNUM(G257,2)</f>
        <v>37</v>
      </c>
      <c r="I257" s="2">
        <f>IF(F257="Thành công", E257-D257, 0)</f>
        <v>113425</v>
      </c>
    </row>
    <row r="258" spans="1:9" ht="14.25" customHeight="1" x14ac:dyDescent="0.3">
      <c r="A258" s="2" t="s">
        <v>280</v>
      </c>
      <c r="B258" s="2" t="s">
        <v>10</v>
      </c>
      <c r="C258" s="2" t="s">
        <v>20</v>
      </c>
      <c r="D258" s="2">
        <v>116275</v>
      </c>
      <c r="E258" s="2">
        <v>745463</v>
      </c>
      <c r="F258" s="2" t="s">
        <v>4</v>
      </c>
      <c r="G258" s="5">
        <v>45639</v>
      </c>
      <c r="H258" s="9">
        <f>WEEKNUM(G258,2)</f>
        <v>50</v>
      </c>
      <c r="I258" s="2">
        <f>IF(F258="Thành công", E258-D258, 0)</f>
        <v>629188</v>
      </c>
    </row>
    <row r="259" spans="1:9" ht="14.25" customHeight="1" x14ac:dyDescent="0.3">
      <c r="A259" s="2" t="s">
        <v>281</v>
      </c>
      <c r="B259" s="2" t="s">
        <v>29</v>
      </c>
      <c r="C259" s="2" t="s">
        <v>8</v>
      </c>
      <c r="D259" s="2">
        <v>100711</v>
      </c>
      <c r="E259" s="2">
        <v>595480</v>
      </c>
      <c r="F259" s="2" t="s">
        <v>4</v>
      </c>
      <c r="G259" s="5">
        <v>45651</v>
      </c>
      <c r="H259" s="9">
        <f>WEEKNUM(G259,2)</f>
        <v>52</v>
      </c>
      <c r="I259" s="2">
        <f>IF(F259="Thành công", E259-D259, 0)</f>
        <v>494769</v>
      </c>
    </row>
    <row r="260" spans="1:9" ht="14.25" customHeight="1" x14ac:dyDescent="0.3">
      <c r="A260" s="2" t="s">
        <v>282</v>
      </c>
      <c r="B260" s="2" t="s">
        <v>7</v>
      </c>
      <c r="C260" s="2" t="s">
        <v>31</v>
      </c>
      <c r="D260" s="2">
        <v>77268</v>
      </c>
      <c r="E260" s="2">
        <v>895608</v>
      </c>
      <c r="F260" s="2" t="s">
        <v>4</v>
      </c>
      <c r="G260" s="5">
        <v>45641</v>
      </c>
      <c r="H260" s="9">
        <f>WEEKNUM(G260,2)</f>
        <v>50</v>
      </c>
      <c r="I260" s="2">
        <f>IF(F260="Thành công", E260-D260, 0)</f>
        <v>818340</v>
      </c>
    </row>
    <row r="261" spans="1:9" ht="14.25" customHeight="1" x14ac:dyDescent="0.3">
      <c r="A261" s="2" t="s">
        <v>283</v>
      </c>
      <c r="B261" s="2" t="s">
        <v>7</v>
      </c>
      <c r="C261" s="2" t="s">
        <v>12</v>
      </c>
      <c r="D261" s="2">
        <v>24028</v>
      </c>
      <c r="E261" s="2">
        <v>0</v>
      </c>
      <c r="F261" s="2" t="s">
        <v>5</v>
      </c>
      <c r="G261" s="5">
        <v>45609</v>
      </c>
      <c r="H261" s="9">
        <f>WEEKNUM(G261,2)</f>
        <v>46</v>
      </c>
      <c r="I261" s="2">
        <f>IF(F261="Thành công", E261-D261, 0)</f>
        <v>0</v>
      </c>
    </row>
    <row r="262" spans="1:9" ht="14.25" customHeight="1" x14ac:dyDescent="0.3">
      <c r="A262" s="2" t="s">
        <v>284</v>
      </c>
      <c r="B262" s="2" t="s">
        <v>22</v>
      </c>
      <c r="C262" s="2" t="s">
        <v>31</v>
      </c>
      <c r="D262" s="2">
        <v>99823</v>
      </c>
      <c r="E262" s="2">
        <v>1694704</v>
      </c>
      <c r="F262" s="2" t="s">
        <v>4</v>
      </c>
      <c r="G262" s="5">
        <v>45623</v>
      </c>
      <c r="H262" s="9">
        <f>WEEKNUM(G262,2)</f>
        <v>48</v>
      </c>
      <c r="I262" s="2">
        <f>IF(F262="Thành công", E262-D262, 0)</f>
        <v>1594881</v>
      </c>
    </row>
    <row r="263" spans="1:9" ht="14.25" customHeight="1" x14ac:dyDescent="0.3">
      <c r="A263" s="2" t="s">
        <v>285</v>
      </c>
      <c r="B263" s="2" t="s">
        <v>46</v>
      </c>
      <c r="C263" s="2" t="s">
        <v>12</v>
      </c>
      <c r="D263" s="2">
        <v>15228</v>
      </c>
      <c r="E263" s="2">
        <v>1482845</v>
      </c>
      <c r="F263" s="2" t="s">
        <v>4</v>
      </c>
      <c r="G263" s="5">
        <v>45650</v>
      </c>
      <c r="H263" s="9">
        <f>WEEKNUM(G263,2)</f>
        <v>52</v>
      </c>
      <c r="I263" s="2">
        <f>IF(F263="Thành công", E263-D263, 0)</f>
        <v>1467617</v>
      </c>
    </row>
    <row r="264" spans="1:9" ht="14.25" customHeight="1" x14ac:dyDescent="0.3">
      <c r="A264" s="2" t="s">
        <v>286</v>
      </c>
      <c r="B264" s="2" t="s">
        <v>10</v>
      </c>
      <c r="C264" s="2" t="s">
        <v>74</v>
      </c>
      <c r="D264" s="2">
        <v>7991</v>
      </c>
      <c r="E264" s="2">
        <v>0</v>
      </c>
      <c r="F264" s="2" t="s">
        <v>5</v>
      </c>
      <c r="G264" s="5">
        <v>45615</v>
      </c>
      <c r="H264" s="9">
        <f>WEEKNUM(G264,2)</f>
        <v>47</v>
      </c>
      <c r="I264" s="2">
        <f>IF(F264="Thành công", E264-D264, 0)</f>
        <v>0</v>
      </c>
    </row>
    <row r="265" spans="1:9" ht="14.25" customHeight="1" x14ac:dyDescent="0.3">
      <c r="A265" s="2" t="s">
        <v>287</v>
      </c>
      <c r="B265" s="2" t="s">
        <v>14</v>
      </c>
      <c r="C265" s="2" t="s">
        <v>20</v>
      </c>
      <c r="D265" s="2">
        <v>113567</v>
      </c>
      <c r="E265" s="2">
        <v>0</v>
      </c>
      <c r="F265" s="2" t="s">
        <v>5</v>
      </c>
      <c r="G265" s="5">
        <v>45650</v>
      </c>
      <c r="H265" s="9">
        <f>WEEKNUM(G265,2)</f>
        <v>52</v>
      </c>
      <c r="I265" s="2">
        <f>IF(F265="Thành công", E265-D265, 0)</f>
        <v>0</v>
      </c>
    </row>
    <row r="266" spans="1:9" ht="14.25" customHeight="1" x14ac:dyDescent="0.3">
      <c r="A266" s="2" t="s">
        <v>288</v>
      </c>
      <c r="B266" s="2" t="s">
        <v>17</v>
      </c>
      <c r="C266" s="2" t="s">
        <v>20</v>
      </c>
      <c r="D266" s="2">
        <v>93368</v>
      </c>
      <c r="E266" s="2">
        <v>247843</v>
      </c>
      <c r="F266" s="2" t="s">
        <v>4</v>
      </c>
      <c r="G266" s="5">
        <v>45623</v>
      </c>
      <c r="H266" s="9">
        <f>WEEKNUM(G266,2)</f>
        <v>48</v>
      </c>
      <c r="I266" s="2">
        <f>IF(F266="Thành công", E266-D266, 0)</f>
        <v>154475</v>
      </c>
    </row>
    <row r="267" spans="1:9" ht="14.25" customHeight="1" x14ac:dyDescent="0.3">
      <c r="A267" s="2" t="s">
        <v>289</v>
      </c>
      <c r="B267" s="2" t="s">
        <v>22</v>
      </c>
      <c r="C267" s="2" t="s">
        <v>20</v>
      </c>
      <c r="D267" s="2">
        <v>30666</v>
      </c>
      <c r="E267" s="2">
        <v>1306441</v>
      </c>
      <c r="F267" s="2" t="s">
        <v>4</v>
      </c>
      <c r="G267" s="5">
        <v>45589</v>
      </c>
      <c r="H267" s="9">
        <f>WEEKNUM(G267,2)</f>
        <v>43</v>
      </c>
      <c r="I267" s="2">
        <f>IF(F267="Thành công", E267-D267, 0)</f>
        <v>1275775</v>
      </c>
    </row>
    <row r="268" spans="1:9" ht="14.25" customHeight="1" x14ac:dyDescent="0.3">
      <c r="A268" s="2" t="s">
        <v>290</v>
      </c>
      <c r="B268" s="2" t="s">
        <v>7</v>
      </c>
      <c r="C268" s="2" t="s">
        <v>23</v>
      </c>
      <c r="D268" s="2">
        <v>197231</v>
      </c>
      <c r="E268" s="2">
        <v>0</v>
      </c>
      <c r="F268" s="2" t="s">
        <v>5</v>
      </c>
      <c r="G268" s="5">
        <v>45578</v>
      </c>
      <c r="H268" s="9">
        <f>WEEKNUM(G268,2)</f>
        <v>41</v>
      </c>
      <c r="I268" s="2">
        <f>IF(F268="Thành công", E268-D268, 0)</f>
        <v>0</v>
      </c>
    </row>
    <row r="269" spans="1:9" ht="14.25" customHeight="1" x14ac:dyDescent="0.3">
      <c r="A269" s="2" t="s">
        <v>291</v>
      </c>
      <c r="B269" s="2" t="s">
        <v>17</v>
      </c>
      <c r="C269" s="2" t="s">
        <v>31</v>
      </c>
      <c r="D269" s="2">
        <v>62375</v>
      </c>
      <c r="E269" s="2">
        <v>1601143</v>
      </c>
      <c r="F269" s="2" t="s">
        <v>4</v>
      </c>
      <c r="G269" s="5">
        <v>45580</v>
      </c>
      <c r="H269" s="9">
        <f>WEEKNUM(G269,2)</f>
        <v>42</v>
      </c>
      <c r="I269" s="2">
        <f>IF(F269="Thành công", E269-D269, 0)</f>
        <v>1538768</v>
      </c>
    </row>
    <row r="270" spans="1:9" ht="14.25" customHeight="1" x14ac:dyDescent="0.3">
      <c r="A270" s="2" t="s">
        <v>292</v>
      </c>
      <c r="B270" s="2" t="s">
        <v>25</v>
      </c>
      <c r="C270" s="2" t="s">
        <v>74</v>
      </c>
      <c r="D270" s="2">
        <v>2779</v>
      </c>
      <c r="E270" s="2">
        <v>1077942</v>
      </c>
      <c r="F270" s="2" t="s">
        <v>4</v>
      </c>
      <c r="G270" s="3">
        <v>45422</v>
      </c>
      <c r="H270" s="9">
        <f>WEEKNUM(G270,2)</f>
        <v>19</v>
      </c>
      <c r="I270" s="2">
        <f>IF(F270="Thành công", E270-D270, 0)</f>
        <v>1075163</v>
      </c>
    </row>
    <row r="271" spans="1:9" ht="14.25" customHeight="1" x14ac:dyDescent="0.3">
      <c r="A271" s="2" t="s">
        <v>293</v>
      </c>
      <c r="B271" s="2" t="s">
        <v>46</v>
      </c>
      <c r="C271" s="2" t="s">
        <v>12</v>
      </c>
      <c r="D271" s="2">
        <v>24737</v>
      </c>
      <c r="E271" s="2">
        <v>1527172</v>
      </c>
      <c r="F271" s="2" t="s">
        <v>4</v>
      </c>
      <c r="G271" s="5">
        <v>45647</v>
      </c>
      <c r="H271" s="9">
        <f>WEEKNUM(G271,2)</f>
        <v>51</v>
      </c>
      <c r="I271" s="2">
        <f>IF(F271="Thành công", E271-D271, 0)</f>
        <v>1502435</v>
      </c>
    </row>
    <row r="272" spans="1:9" ht="14.25" customHeight="1" x14ac:dyDescent="0.3">
      <c r="A272" s="2" t="s">
        <v>294</v>
      </c>
      <c r="B272" s="2" t="s">
        <v>42</v>
      </c>
      <c r="C272" s="2" t="s">
        <v>74</v>
      </c>
      <c r="D272" s="2">
        <v>19086</v>
      </c>
      <c r="E272" s="2">
        <v>345653</v>
      </c>
      <c r="F272" s="2" t="s">
        <v>4</v>
      </c>
      <c r="G272" s="5">
        <v>45595</v>
      </c>
      <c r="H272" s="9">
        <f>WEEKNUM(G272,2)</f>
        <v>44</v>
      </c>
      <c r="I272" s="2">
        <f>IF(F272="Thành công", E272-D272, 0)</f>
        <v>326567</v>
      </c>
    </row>
    <row r="273" spans="1:9" ht="14.25" customHeight="1" x14ac:dyDescent="0.3">
      <c r="A273" s="2" t="s">
        <v>295</v>
      </c>
      <c r="B273" s="2" t="s">
        <v>17</v>
      </c>
      <c r="C273" s="2" t="s">
        <v>18</v>
      </c>
      <c r="D273" s="2">
        <v>182658</v>
      </c>
      <c r="E273" s="2">
        <v>601455</v>
      </c>
      <c r="F273" s="2" t="s">
        <v>4</v>
      </c>
      <c r="G273" s="5">
        <v>45619</v>
      </c>
      <c r="H273" s="9">
        <f>WEEKNUM(G273,2)</f>
        <v>47</v>
      </c>
      <c r="I273" s="2">
        <f>IF(F273="Thành công", E273-D273, 0)</f>
        <v>418797</v>
      </c>
    </row>
    <row r="274" spans="1:9" ht="14.25" customHeight="1" x14ac:dyDescent="0.3">
      <c r="A274" s="2" t="s">
        <v>296</v>
      </c>
      <c r="B274" s="2" t="s">
        <v>10</v>
      </c>
      <c r="C274" s="2" t="s">
        <v>74</v>
      </c>
      <c r="D274" s="2">
        <v>16614</v>
      </c>
      <c r="E274" s="2">
        <v>0</v>
      </c>
      <c r="F274" s="2" t="s">
        <v>5</v>
      </c>
      <c r="G274" s="3">
        <v>45394</v>
      </c>
      <c r="H274" s="9">
        <f>WEEKNUM(G274,2)</f>
        <v>15</v>
      </c>
      <c r="I274" s="2">
        <f>IF(F274="Thành công", E274-D274, 0)</f>
        <v>0</v>
      </c>
    </row>
    <row r="275" spans="1:9" ht="14.25" customHeight="1" x14ac:dyDescent="0.3">
      <c r="A275" s="2" t="s">
        <v>297</v>
      </c>
      <c r="B275" s="2" t="s">
        <v>25</v>
      </c>
      <c r="C275" s="2" t="s">
        <v>18</v>
      </c>
      <c r="D275" s="2">
        <v>187713</v>
      </c>
      <c r="E275" s="2">
        <v>289259</v>
      </c>
      <c r="F275" s="2" t="s">
        <v>4</v>
      </c>
      <c r="G275" s="5">
        <v>45579</v>
      </c>
      <c r="H275" s="9">
        <f>WEEKNUM(G275,2)</f>
        <v>42</v>
      </c>
      <c r="I275" s="2">
        <f>IF(F275="Thành công", E275-D275, 0)</f>
        <v>101546</v>
      </c>
    </row>
    <row r="276" spans="1:9" ht="14.25" customHeight="1" x14ac:dyDescent="0.3">
      <c r="A276" s="2" t="s">
        <v>298</v>
      </c>
      <c r="B276" s="2" t="s">
        <v>22</v>
      </c>
      <c r="C276" s="2" t="s">
        <v>31</v>
      </c>
      <c r="D276" s="2">
        <v>31245</v>
      </c>
      <c r="E276" s="2">
        <v>0</v>
      </c>
      <c r="F276" s="2" t="s">
        <v>5</v>
      </c>
      <c r="G276" s="5">
        <v>45583</v>
      </c>
      <c r="H276" s="9">
        <f>WEEKNUM(G276,2)</f>
        <v>42</v>
      </c>
      <c r="I276" s="2">
        <f>IF(F276="Thành công", E276-D276, 0)</f>
        <v>0</v>
      </c>
    </row>
    <row r="277" spans="1:9" ht="14.25" customHeight="1" x14ac:dyDescent="0.3">
      <c r="A277" s="2" t="s">
        <v>299</v>
      </c>
      <c r="B277" s="2" t="s">
        <v>42</v>
      </c>
      <c r="C277" s="2" t="s">
        <v>35</v>
      </c>
      <c r="D277" s="2">
        <v>77272</v>
      </c>
      <c r="E277" s="2">
        <v>401487</v>
      </c>
      <c r="F277" s="2" t="s">
        <v>4</v>
      </c>
      <c r="G277" s="5">
        <v>45592</v>
      </c>
      <c r="H277" s="9">
        <f>WEEKNUM(G277,2)</f>
        <v>43</v>
      </c>
      <c r="I277" s="2">
        <f>IF(F277="Thành công", E277-D277, 0)</f>
        <v>324215</v>
      </c>
    </row>
    <row r="278" spans="1:9" ht="14.25" customHeight="1" x14ac:dyDescent="0.3">
      <c r="A278" s="2" t="s">
        <v>300</v>
      </c>
      <c r="B278" s="2" t="s">
        <v>10</v>
      </c>
      <c r="C278" s="2" t="s">
        <v>8</v>
      </c>
      <c r="D278" s="2">
        <v>14476</v>
      </c>
      <c r="E278" s="2">
        <v>1959270</v>
      </c>
      <c r="F278" s="2" t="s">
        <v>4</v>
      </c>
      <c r="G278" s="5">
        <v>45645</v>
      </c>
      <c r="H278" s="9">
        <f>WEEKNUM(G278,2)</f>
        <v>51</v>
      </c>
      <c r="I278" s="2">
        <f>IF(F278="Thành công", E278-D278, 0)</f>
        <v>1944794</v>
      </c>
    </row>
    <row r="279" spans="1:9" ht="14.25" customHeight="1" x14ac:dyDescent="0.3">
      <c r="A279" s="2" t="s">
        <v>301</v>
      </c>
      <c r="B279" s="2" t="s">
        <v>29</v>
      </c>
      <c r="C279" s="2" t="s">
        <v>31</v>
      </c>
      <c r="D279" s="2">
        <v>72443</v>
      </c>
      <c r="E279" s="2">
        <v>708380</v>
      </c>
      <c r="F279" s="2" t="s">
        <v>4</v>
      </c>
      <c r="G279" s="3">
        <v>45362</v>
      </c>
      <c r="H279" s="9">
        <f>WEEKNUM(G279,2)</f>
        <v>11</v>
      </c>
      <c r="I279" s="2">
        <f>IF(F279="Thành công", E279-D279, 0)</f>
        <v>635937</v>
      </c>
    </row>
    <row r="280" spans="1:9" ht="14.25" customHeight="1" x14ac:dyDescent="0.3">
      <c r="A280" s="2" t="s">
        <v>302</v>
      </c>
      <c r="B280" s="2" t="s">
        <v>10</v>
      </c>
      <c r="C280" s="2" t="s">
        <v>31</v>
      </c>
      <c r="D280" s="2">
        <v>99427</v>
      </c>
      <c r="E280" s="2">
        <v>1508170</v>
      </c>
      <c r="F280" s="2" t="s">
        <v>4</v>
      </c>
      <c r="G280" s="5">
        <v>45594</v>
      </c>
      <c r="H280" s="9">
        <f>WEEKNUM(G280,2)</f>
        <v>44</v>
      </c>
      <c r="I280" s="2">
        <f>IF(F280="Thành công", E280-D280, 0)</f>
        <v>1408743</v>
      </c>
    </row>
    <row r="281" spans="1:9" ht="14.25" customHeight="1" x14ac:dyDescent="0.3">
      <c r="A281" s="2" t="s">
        <v>303</v>
      </c>
      <c r="B281" s="2" t="s">
        <v>42</v>
      </c>
      <c r="C281" s="2" t="s">
        <v>74</v>
      </c>
      <c r="D281" s="2">
        <v>17737</v>
      </c>
      <c r="E281" s="2">
        <v>1567997</v>
      </c>
      <c r="F281" s="2" t="s">
        <v>4</v>
      </c>
      <c r="G281" s="5">
        <v>45656</v>
      </c>
      <c r="H281" s="9">
        <f>WEEKNUM(G281,2)</f>
        <v>53</v>
      </c>
      <c r="I281" s="2">
        <f>IF(F281="Thành công", E281-D281, 0)</f>
        <v>1550260</v>
      </c>
    </row>
    <row r="282" spans="1:9" ht="14.25" customHeight="1" x14ac:dyDescent="0.3">
      <c r="A282" s="2" t="s">
        <v>304</v>
      </c>
      <c r="B282" s="2" t="s">
        <v>14</v>
      </c>
      <c r="C282" s="2" t="s">
        <v>8</v>
      </c>
      <c r="D282" s="2">
        <v>47594</v>
      </c>
      <c r="E282" s="2">
        <v>1001247</v>
      </c>
      <c r="F282" s="2" t="s">
        <v>4</v>
      </c>
      <c r="G282" s="3">
        <v>45576</v>
      </c>
      <c r="H282" s="9">
        <f>WEEKNUM(G282,2)</f>
        <v>41</v>
      </c>
      <c r="I282" s="2">
        <f>IF(F282="Thành công", E282-D282, 0)</f>
        <v>953653</v>
      </c>
    </row>
    <row r="283" spans="1:9" ht="14.25" customHeight="1" x14ac:dyDescent="0.3">
      <c r="A283" s="2" t="s">
        <v>305</v>
      </c>
      <c r="B283" s="2" t="s">
        <v>25</v>
      </c>
      <c r="C283" s="2" t="s">
        <v>35</v>
      </c>
      <c r="D283" s="2">
        <v>21064</v>
      </c>
      <c r="E283" s="2">
        <v>1123985</v>
      </c>
      <c r="F283" s="2" t="s">
        <v>4</v>
      </c>
      <c r="G283" s="5">
        <v>45626</v>
      </c>
      <c r="H283" s="9">
        <f>WEEKNUM(G283,2)</f>
        <v>48</v>
      </c>
      <c r="I283" s="2">
        <f>IF(F283="Thành công", E283-D283, 0)</f>
        <v>1102921</v>
      </c>
    </row>
    <row r="284" spans="1:9" ht="14.25" customHeight="1" x14ac:dyDescent="0.3">
      <c r="A284" s="2" t="s">
        <v>306</v>
      </c>
      <c r="B284" s="2" t="s">
        <v>10</v>
      </c>
      <c r="C284" s="2" t="s">
        <v>8</v>
      </c>
      <c r="D284" s="2">
        <v>87339</v>
      </c>
      <c r="E284" s="2">
        <v>1232242</v>
      </c>
      <c r="F284" s="2" t="s">
        <v>4</v>
      </c>
      <c r="G284" s="5">
        <v>45657</v>
      </c>
      <c r="H284" s="9">
        <f>WEEKNUM(G284,2)</f>
        <v>53</v>
      </c>
      <c r="I284" s="2">
        <f>IF(F284="Thành công", E284-D284, 0)</f>
        <v>1144903</v>
      </c>
    </row>
    <row r="285" spans="1:9" ht="14.25" customHeight="1" x14ac:dyDescent="0.3">
      <c r="A285" s="2" t="s">
        <v>307</v>
      </c>
      <c r="B285" s="2" t="s">
        <v>42</v>
      </c>
      <c r="C285" s="2" t="s">
        <v>23</v>
      </c>
      <c r="D285" s="2">
        <v>63852</v>
      </c>
      <c r="E285" s="2">
        <v>680308</v>
      </c>
      <c r="F285" s="2" t="s">
        <v>4</v>
      </c>
      <c r="G285" s="3">
        <v>45516</v>
      </c>
      <c r="H285" s="9">
        <f>WEEKNUM(G285,2)</f>
        <v>33</v>
      </c>
      <c r="I285" s="2">
        <f>IF(F285="Thành công", E285-D285, 0)</f>
        <v>616456</v>
      </c>
    </row>
    <row r="286" spans="1:9" ht="14.25" customHeight="1" x14ac:dyDescent="0.3">
      <c r="A286" s="2" t="s">
        <v>308</v>
      </c>
      <c r="B286" s="2" t="s">
        <v>22</v>
      </c>
      <c r="C286" s="2" t="s">
        <v>31</v>
      </c>
      <c r="D286" s="2">
        <v>24</v>
      </c>
      <c r="E286" s="2">
        <v>0</v>
      </c>
      <c r="F286" s="2" t="s">
        <v>5</v>
      </c>
      <c r="G286" s="5">
        <v>45654</v>
      </c>
      <c r="H286" s="9">
        <f>WEEKNUM(G286,2)</f>
        <v>52</v>
      </c>
      <c r="I286" s="2">
        <f>IF(F286="Thành công", E286-D286, 0)</f>
        <v>0</v>
      </c>
    </row>
    <row r="287" spans="1:9" ht="14.25" customHeight="1" x14ac:dyDescent="0.3">
      <c r="A287" s="2" t="s">
        <v>309</v>
      </c>
      <c r="B287" s="2" t="s">
        <v>42</v>
      </c>
      <c r="C287" s="2" t="s">
        <v>35</v>
      </c>
      <c r="D287" s="2">
        <v>95878</v>
      </c>
      <c r="E287" s="2">
        <v>1384749</v>
      </c>
      <c r="F287" s="2" t="s">
        <v>4</v>
      </c>
      <c r="G287" s="5">
        <v>45585</v>
      </c>
      <c r="H287" s="9">
        <f>WEEKNUM(G287,2)</f>
        <v>42</v>
      </c>
      <c r="I287" s="2">
        <f>IF(F287="Thành công", E287-D287, 0)</f>
        <v>1288871</v>
      </c>
    </row>
    <row r="288" spans="1:9" ht="14.25" customHeight="1" x14ac:dyDescent="0.3">
      <c r="A288" s="2" t="s">
        <v>310</v>
      </c>
      <c r="B288" s="2" t="s">
        <v>46</v>
      </c>
      <c r="C288" s="2" t="s">
        <v>20</v>
      </c>
      <c r="D288" s="2">
        <v>45592</v>
      </c>
      <c r="E288" s="2">
        <v>1345493</v>
      </c>
      <c r="F288" s="2" t="s">
        <v>4</v>
      </c>
      <c r="G288" s="5">
        <v>45589</v>
      </c>
      <c r="H288" s="9">
        <f>WEEKNUM(G288,2)</f>
        <v>43</v>
      </c>
      <c r="I288" s="2">
        <f>IF(F288="Thành công", E288-D288, 0)</f>
        <v>1299901</v>
      </c>
    </row>
    <row r="289" spans="1:9" ht="14.25" customHeight="1" x14ac:dyDescent="0.3">
      <c r="A289" s="2" t="s">
        <v>311</v>
      </c>
      <c r="B289" s="2" t="s">
        <v>14</v>
      </c>
      <c r="C289" s="2" t="s">
        <v>12</v>
      </c>
      <c r="D289" s="2">
        <v>1379</v>
      </c>
      <c r="E289" s="2">
        <v>653409</v>
      </c>
      <c r="F289" s="2" t="s">
        <v>4</v>
      </c>
      <c r="G289" s="3">
        <v>45394</v>
      </c>
      <c r="H289" s="9">
        <f>WEEKNUM(G289,2)</f>
        <v>15</v>
      </c>
      <c r="I289" s="2">
        <f>IF(F289="Thành công", E289-D289, 0)</f>
        <v>652030</v>
      </c>
    </row>
    <row r="290" spans="1:9" ht="14.25" customHeight="1" x14ac:dyDescent="0.3">
      <c r="A290" s="2" t="s">
        <v>312</v>
      </c>
      <c r="B290" s="2" t="s">
        <v>42</v>
      </c>
      <c r="C290" s="2" t="s">
        <v>8</v>
      </c>
      <c r="D290" s="2">
        <v>40312</v>
      </c>
      <c r="E290" s="2">
        <v>1713287</v>
      </c>
      <c r="F290" s="2" t="s">
        <v>4</v>
      </c>
      <c r="G290" s="5">
        <v>45580</v>
      </c>
      <c r="H290" s="9">
        <f>WEEKNUM(G290,2)</f>
        <v>42</v>
      </c>
      <c r="I290" s="2">
        <f>IF(F290="Thành công", E290-D290, 0)</f>
        <v>1672975</v>
      </c>
    </row>
    <row r="291" spans="1:9" ht="14.25" customHeight="1" x14ac:dyDescent="0.3">
      <c r="A291" s="2" t="s">
        <v>313</v>
      </c>
      <c r="B291" s="2" t="s">
        <v>14</v>
      </c>
      <c r="C291" s="2" t="s">
        <v>74</v>
      </c>
      <c r="D291" s="2">
        <v>27949</v>
      </c>
      <c r="E291" s="2">
        <v>0</v>
      </c>
      <c r="F291" s="2" t="s">
        <v>5</v>
      </c>
      <c r="G291" s="3">
        <v>45361</v>
      </c>
      <c r="H291" s="9">
        <f>WEEKNUM(G291,2)</f>
        <v>10</v>
      </c>
      <c r="I291" s="2">
        <f>IF(F291="Thành công", E291-D291, 0)</f>
        <v>0</v>
      </c>
    </row>
    <row r="292" spans="1:9" ht="14.25" customHeight="1" x14ac:dyDescent="0.3">
      <c r="A292" s="2" t="s">
        <v>314</v>
      </c>
      <c r="B292" s="2" t="s">
        <v>29</v>
      </c>
      <c r="C292" s="2" t="s">
        <v>74</v>
      </c>
      <c r="D292" s="2">
        <v>17805</v>
      </c>
      <c r="E292" s="2">
        <v>625508</v>
      </c>
      <c r="F292" s="2" t="s">
        <v>4</v>
      </c>
      <c r="G292" s="3">
        <v>45454</v>
      </c>
      <c r="H292" s="9">
        <f>WEEKNUM(G292,2)</f>
        <v>24</v>
      </c>
      <c r="I292" s="2">
        <f>IF(F292="Thành công", E292-D292, 0)</f>
        <v>607703</v>
      </c>
    </row>
    <row r="293" spans="1:9" ht="14.25" customHeight="1" x14ac:dyDescent="0.3">
      <c r="A293" s="2" t="s">
        <v>315</v>
      </c>
      <c r="B293" s="2" t="s">
        <v>7</v>
      </c>
      <c r="C293" s="2" t="s">
        <v>23</v>
      </c>
      <c r="D293" s="2">
        <v>7568</v>
      </c>
      <c r="E293" s="2">
        <v>1156467</v>
      </c>
      <c r="F293" s="2" t="s">
        <v>4</v>
      </c>
      <c r="G293" s="5">
        <v>45621</v>
      </c>
      <c r="H293" s="9">
        <f>WEEKNUM(G293,2)</f>
        <v>48</v>
      </c>
      <c r="I293" s="2">
        <f>IF(F293="Thành công", E293-D293, 0)</f>
        <v>1148899</v>
      </c>
    </row>
    <row r="294" spans="1:9" ht="14.25" customHeight="1" x14ac:dyDescent="0.3">
      <c r="A294" s="2" t="s">
        <v>316</v>
      </c>
      <c r="B294" s="2" t="s">
        <v>14</v>
      </c>
      <c r="C294" s="2" t="s">
        <v>31</v>
      </c>
      <c r="D294" s="2">
        <v>89315</v>
      </c>
      <c r="E294" s="2">
        <v>1389039</v>
      </c>
      <c r="F294" s="2" t="s">
        <v>4</v>
      </c>
      <c r="G294" s="3">
        <v>45545</v>
      </c>
      <c r="H294" s="9">
        <f>WEEKNUM(G294,2)</f>
        <v>37</v>
      </c>
      <c r="I294" s="2">
        <f>IF(F294="Thành công", E294-D294, 0)</f>
        <v>1299724</v>
      </c>
    </row>
    <row r="295" spans="1:9" ht="14.25" customHeight="1" x14ac:dyDescent="0.3">
      <c r="A295" s="2" t="s">
        <v>317</v>
      </c>
      <c r="B295" s="2" t="s">
        <v>14</v>
      </c>
      <c r="C295" s="2" t="s">
        <v>18</v>
      </c>
      <c r="D295" s="2">
        <v>140472</v>
      </c>
      <c r="E295" s="2">
        <v>376470</v>
      </c>
      <c r="F295" s="2" t="s">
        <v>4</v>
      </c>
      <c r="G295" s="3">
        <v>45637</v>
      </c>
      <c r="H295" s="9">
        <f>WEEKNUM(G295,2)</f>
        <v>50</v>
      </c>
      <c r="I295" s="2">
        <f>IF(F295="Thành công", E295-D295, 0)</f>
        <v>235998</v>
      </c>
    </row>
    <row r="296" spans="1:9" ht="14.25" customHeight="1" x14ac:dyDescent="0.3">
      <c r="A296" s="2" t="s">
        <v>318</v>
      </c>
      <c r="B296" s="2" t="s">
        <v>29</v>
      </c>
      <c r="C296" s="2" t="s">
        <v>20</v>
      </c>
      <c r="D296" s="2">
        <v>87685</v>
      </c>
      <c r="E296" s="2">
        <v>0</v>
      </c>
      <c r="F296" s="2" t="s">
        <v>5</v>
      </c>
      <c r="G296" s="3">
        <v>45362</v>
      </c>
      <c r="H296" s="9">
        <f>WEEKNUM(G296,2)</f>
        <v>11</v>
      </c>
      <c r="I296" s="2">
        <f>IF(F296="Thành công", E296-D296, 0)</f>
        <v>0</v>
      </c>
    </row>
    <row r="297" spans="1:9" ht="14.25" customHeight="1" x14ac:dyDescent="0.3">
      <c r="A297" s="2" t="s">
        <v>319</v>
      </c>
      <c r="B297" s="2" t="s">
        <v>17</v>
      </c>
      <c r="C297" s="2" t="s">
        <v>20</v>
      </c>
      <c r="D297" s="2">
        <v>77989</v>
      </c>
      <c r="E297" s="2">
        <v>1374491</v>
      </c>
      <c r="F297" s="2" t="s">
        <v>4</v>
      </c>
      <c r="G297" s="5">
        <v>45591</v>
      </c>
      <c r="H297" s="9">
        <f>WEEKNUM(G297,2)</f>
        <v>43</v>
      </c>
      <c r="I297" s="2">
        <f>IF(F297="Thành công", E297-D297, 0)</f>
        <v>1296502</v>
      </c>
    </row>
    <row r="298" spans="1:9" ht="14.25" customHeight="1" x14ac:dyDescent="0.3">
      <c r="A298" s="2" t="s">
        <v>320</v>
      </c>
      <c r="B298" s="2" t="s">
        <v>46</v>
      </c>
      <c r="C298" s="2" t="s">
        <v>20</v>
      </c>
      <c r="D298" s="2">
        <v>142143</v>
      </c>
      <c r="E298" s="2">
        <v>1359362</v>
      </c>
      <c r="F298" s="2" t="s">
        <v>4</v>
      </c>
      <c r="G298" s="5">
        <v>45595</v>
      </c>
      <c r="H298" s="9">
        <f>WEEKNUM(G298,2)</f>
        <v>44</v>
      </c>
      <c r="I298" s="2">
        <f>IF(F298="Thành công", E298-D298, 0)</f>
        <v>1217219</v>
      </c>
    </row>
    <row r="299" spans="1:9" ht="14.25" customHeight="1" x14ac:dyDescent="0.3">
      <c r="A299" s="2" t="s">
        <v>321</v>
      </c>
      <c r="B299" s="2" t="s">
        <v>14</v>
      </c>
      <c r="C299" s="2" t="s">
        <v>18</v>
      </c>
      <c r="D299" s="2">
        <v>68227</v>
      </c>
      <c r="E299" s="2">
        <v>455687</v>
      </c>
      <c r="F299" s="2" t="s">
        <v>4</v>
      </c>
      <c r="G299" s="3">
        <v>45334</v>
      </c>
      <c r="H299" s="9">
        <f>WEEKNUM(G299,2)</f>
        <v>7</v>
      </c>
      <c r="I299" s="2">
        <f>IF(F299="Thành công", E299-D299, 0)</f>
        <v>387460</v>
      </c>
    </row>
    <row r="300" spans="1:9" ht="14.25" customHeight="1" x14ac:dyDescent="0.3">
      <c r="A300" s="2" t="s">
        <v>322</v>
      </c>
      <c r="B300" s="2" t="s">
        <v>14</v>
      </c>
      <c r="C300" s="2" t="s">
        <v>20</v>
      </c>
      <c r="D300" s="2">
        <v>3767</v>
      </c>
      <c r="E300" s="2">
        <v>1763036</v>
      </c>
      <c r="F300" s="2" t="s">
        <v>4</v>
      </c>
      <c r="G300" s="5">
        <v>45649</v>
      </c>
      <c r="H300" s="9">
        <f>WEEKNUM(G300,2)</f>
        <v>52</v>
      </c>
      <c r="I300" s="2">
        <f>IF(F300="Thành công", E300-D300, 0)</f>
        <v>1759269</v>
      </c>
    </row>
    <row r="301" spans="1:9" ht="14.25" customHeight="1" x14ac:dyDescent="0.3">
      <c r="A301" s="2" t="s">
        <v>323</v>
      </c>
      <c r="B301" s="2" t="s">
        <v>14</v>
      </c>
      <c r="C301" s="2" t="s">
        <v>20</v>
      </c>
      <c r="D301" s="2">
        <v>94926</v>
      </c>
      <c r="E301" s="2">
        <v>735320</v>
      </c>
      <c r="F301" s="2" t="s">
        <v>4</v>
      </c>
      <c r="G301" s="5">
        <v>45583</v>
      </c>
      <c r="H301" s="9">
        <f>WEEKNUM(G301,2)</f>
        <v>42</v>
      </c>
      <c r="I301" s="2">
        <f>IF(F301="Thành công", E301-D301, 0)</f>
        <v>640394</v>
      </c>
    </row>
    <row r="302" spans="1:9" ht="14.25" customHeight="1" x14ac:dyDescent="0.3">
      <c r="A302" s="2" t="s">
        <v>324</v>
      </c>
      <c r="B302" s="2" t="s">
        <v>27</v>
      </c>
      <c r="C302" s="2" t="s">
        <v>35</v>
      </c>
      <c r="D302" s="2">
        <v>63064</v>
      </c>
      <c r="E302" s="2">
        <v>211390</v>
      </c>
      <c r="F302" s="2" t="s">
        <v>4</v>
      </c>
      <c r="G302" s="3">
        <v>45394</v>
      </c>
      <c r="H302" s="9">
        <f>WEEKNUM(G302,2)</f>
        <v>15</v>
      </c>
      <c r="I302" s="2">
        <f>IF(F302="Thành công", E302-D302, 0)</f>
        <v>148326</v>
      </c>
    </row>
    <row r="303" spans="1:9" ht="14.25" customHeight="1" x14ac:dyDescent="0.3">
      <c r="A303" s="2" t="s">
        <v>325</v>
      </c>
      <c r="B303" s="2" t="s">
        <v>42</v>
      </c>
      <c r="C303" s="2" t="s">
        <v>35</v>
      </c>
      <c r="D303" s="2">
        <v>9525</v>
      </c>
      <c r="E303" s="2">
        <v>1965692</v>
      </c>
      <c r="F303" s="2" t="s">
        <v>4</v>
      </c>
      <c r="G303" s="5">
        <v>45612</v>
      </c>
      <c r="H303" s="9">
        <f>WEEKNUM(G303,2)</f>
        <v>46</v>
      </c>
      <c r="I303" s="2">
        <f>IF(F303="Thành công", E303-D303, 0)</f>
        <v>1956167</v>
      </c>
    </row>
    <row r="304" spans="1:9" ht="14.25" customHeight="1" x14ac:dyDescent="0.3">
      <c r="A304" s="2" t="s">
        <v>326</v>
      </c>
      <c r="B304" s="2" t="s">
        <v>7</v>
      </c>
      <c r="C304" s="2" t="s">
        <v>31</v>
      </c>
      <c r="D304" s="2">
        <v>54989</v>
      </c>
      <c r="E304" s="2">
        <v>473058</v>
      </c>
      <c r="F304" s="2" t="s">
        <v>4</v>
      </c>
      <c r="G304" s="5">
        <v>45616</v>
      </c>
      <c r="H304" s="9">
        <f>WEEKNUM(G304,2)</f>
        <v>47</v>
      </c>
      <c r="I304" s="2">
        <f>IF(F304="Thành công", E304-D304, 0)</f>
        <v>418069</v>
      </c>
    </row>
    <row r="305" spans="1:9" ht="14.25" customHeight="1" x14ac:dyDescent="0.3">
      <c r="A305" s="2" t="s">
        <v>327</v>
      </c>
      <c r="B305" s="2" t="s">
        <v>7</v>
      </c>
      <c r="C305" s="2" t="s">
        <v>18</v>
      </c>
      <c r="D305" s="2">
        <v>97705</v>
      </c>
      <c r="E305" s="2">
        <v>1993703</v>
      </c>
      <c r="F305" s="2" t="s">
        <v>4</v>
      </c>
      <c r="G305" s="3">
        <v>45453</v>
      </c>
      <c r="H305" s="9">
        <f>WEEKNUM(G305,2)</f>
        <v>24</v>
      </c>
      <c r="I305" s="2">
        <f>IF(F305="Thành công", E305-D305, 0)</f>
        <v>1895998</v>
      </c>
    </row>
    <row r="306" spans="1:9" ht="14.25" customHeight="1" x14ac:dyDescent="0.3">
      <c r="A306" s="2" t="s">
        <v>328</v>
      </c>
      <c r="B306" s="2" t="s">
        <v>27</v>
      </c>
      <c r="C306" s="2" t="s">
        <v>35</v>
      </c>
      <c r="D306" s="2">
        <v>44466</v>
      </c>
      <c r="E306" s="2">
        <v>0</v>
      </c>
      <c r="F306" s="2" t="s">
        <v>5</v>
      </c>
      <c r="G306" s="3">
        <v>45546</v>
      </c>
      <c r="H306" s="9">
        <f>WEEKNUM(G306,2)</f>
        <v>37</v>
      </c>
      <c r="I306" s="2">
        <f>IF(F306="Thành công", E306-D306, 0)</f>
        <v>0</v>
      </c>
    </row>
    <row r="307" spans="1:9" ht="14.25" customHeight="1" x14ac:dyDescent="0.3">
      <c r="A307" s="2" t="s">
        <v>329</v>
      </c>
      <c r="B307" s="2" t="s">
        <v>27</v>
      </c>
      <c r="C307" s="2" t="s">
        <v>8</v>
      </c>
      <c r="D307" s="2">
        <v>115881</v>
      </c>
      <c r="E307" s="2">
        <v>731754</v>
      </c>
      <c r="F307" s="2" t="s">
        <v>4</v>
      </c>
      <c r="G307" s="3">
        <v>45577</v>
      </c>
      <c r="H307" s="9">
        <f>WEEKNUM(G307,2)</f>
        <v>41</v>
      </c>
      <c r="I307" s="2">
        <f>IF(F307="Thành công", E307-D307, 0)</f>
        <v>615873</v>
      </c>
    </row>
    <row r="308" spans="1:9" ht="14.25" customHeight="1" x14ac:dyDescent="0.3">
      <c r="A308" s="2" t="s">
        <v>330</v>
      </c>
      <c r="B308" s="2" t="s">
        <v>22</v>
      </c>
      <c r="C308" s="2" t="s">
        <v>12</v>
      </c>
      <c r="D308" s="2">
        <v>19105</v>
      </c>
      <c r="E308" s="2">
        <v>929295</v>
      </c>
      <c r="F308" s="2" t="s">
        <v>4</v>
      </c>
      <c r="G308" s="5">
        <v>45584</v>
      </c>
      <c r="H308" s="9">
        <f>WEEKNUM(G308,2)</f>
        <v>42</v>
      </c>
      <c r="I308" s="2">
        <f>IF(F308="Thành công", E308-D308, 0)</f>
        <v>910190</v>
      </c>
    </row>
    <row r="309" spans="1:9" ht="14.25" customHeight="1" x14ac:dyDescent="0.3">
      <c r="A309" s="2" t="s">
        <v>331</v>
      </c>
      <c r="B309" s="2" t="s">
        <v>7</v>
      </c>
      <c r="C309" s="2" t="s">
        <v>74</v>
      </c>
      <c r="D309" s="2">
        <v>23334</v>
      </c>
      <c r="E309" s="2">
        <v>1800480</v>
      </c>
      <c r="F309" s="2" t="s">
        <v>4</v>
      </c>
      <c r="G309" s="3">
        <v>45575</v>
      </c>
      <c r="H309" s="9">
        <f>WEEKNUM(G309,2)</f>
        <v>41</v>
      </c>
      <c r="I309" s="2">
        <f>IF(F309="Thành công", E309-D309, 0)</f>
        <v>1777146</v>
      </c>
    </row>
    <row r="310" spans="1:9" ht="14.25" customHeight="1" x14ac:dyDescent="0.3">
      <c r="A310" s="2" t="s">
        <v>332</v>
      </c>
      <c r="B310" s="2" t="s">
        <v>10</v>
      </c>
      <c r="C310" s="2" t="s">
        <v>18</v>
      </c>
      <c r="D310" s="2">
        <v>53538</v>
      </c>
      <c r="E310" s="2">
        <v>631191</v>
      </c>
      <c r="F310" s="2" t="s">
        <v>4</v>
      </c>
      <c r="G310" s="3">
        <v>45546</v>
      </c>
      <c r="H310" s="9">
        <f>WEEKNUM(G310,2)</f>
        <v>37</v>
      </c>
      <c r="I310" s="2">
        <f>IF(F310="Thành công", E310-D310, 0)</f>
        <v>577653</v>
      </c>
    </row>
    <row r="311" spans="1:9" ht="14.25" customHeight="1" x14ac:dyDescent="0.3">
      <c r="A311" s="2" t="s">
        <v>333</v>
      </c>
      <c r="B311" s="2" t="s">
        <v>17</v>
      </c>
      <c r="C311" s="2" t="s">
        <v>18</v>
      </c>
      <c r="D311" s="2">
        <v>176436</v>
      </c>
      <c r="E311" s="2">
        <v>372437</v>
      </c>
      <c r="F311" s="2" t="s">
        <v>4</v>
      </c>
      <c r="G311" s="5">
        <v>45583</v>
      </c>
      <c r="H311" s="9">
        <f>WEEKNUM(G311,2)</f>
        <v>42</v>
      </c>
      <c r="I311" s="2">
        <f>IF(F311="Thành công", E311-D311, 0)</f>
        <v>196001</v>
      </c>
    </row>
    <row r="312" spans="1:9" ht="14.25" customHeight="1" x14ac:dyDescent="0.3">
      <c r="A312" s="2" t="s">
        <v>334</v>
      </c>
      <c r="B312" s="2" t="s">
        <v>46</v>
      </c>
      <c r="C312" s="2" t="s">
        <v>12</v>
      </c>
      <c r="D312" s="2">
        <v>22547</v>
      </c>
      <c r="E312" s="2">
        <v>1889627</v>
      </c>
      <c r="F312" s="2" t="s">
        <v>4</v>
      </c>
      <c r="G312" s="5">
        <v>45590</v>
      </c>
      <c r="H312" s="9">
        <f>WEEKNUM(G312,2)</f>
        <v>43</v>
      </c>
      <c r="I312" s="2">
        <f>IF(F312="Thành công", E312-D312, 0)</f>
        <v>1867080</v>
      </c>
    </row>
    <row r="313" spans="1:9" ht="14.25" customHeight="1" x14ac:dyDescent="0.3">
      <c r="A313" s="2" t="s">
        <v>335</v>
      </c>
      <c r="B313" s="2" t="s">
        <v>27</v>
      </c>
      <c r="C313" s="2" t="s">
        <v>18</v>
      </c>
      <c r="D313" s="2">
        <v>127225</v>
      </c>
      <c r="E313" s="2">
        <v>1154393</v>
      </c>
      <c r="F313" s="2" t="s">
        <v>4</v>
      </c>
      <c r="G313" s="5">
        <v>45654</v>
      </c>
      <c r="H313" s="9">
        <f>WEEKNUM(G313,2)</f>
        <v>52</v>
      </c>
      <c r="I313" s="2">
        <f>IF(F313="Thành công", E313-D313, 0)</f>
        <v>1027168</v>
      </c>
    </row>
    <row r="314" spans="1:9" ht="14.25" customHeight="1" x14ac:dyDescent="0.3">
      <c r="A314" s="2" t="s">
        <v>336</v>
      </c>
      <c r="B314" s="2" t="s">
        <v>46</v>
      </c>
      <c r="C314" s="2" t="s">
        <v>18</v>
      </c>
      <c r="D314" s="2">
        <v>159168</v>
      </c>
      <c r="E314" s="2">
        <v>980676</v>
      </c>
      <c r="F314" s="2" t="s">
        <v>4</v>
      </c>
      <c r="G314" s="5">
        <v>45616</v>
      </c>
      <c r="H314" s="9">
        <f>WEEKNUM(G314,2)</f>
        <v>47</v>
      </c>
      <c r="I314" s="2">
        <f>IF(F314="Thành công", E314-D314, 0)</f>
        <v>821508</v>
      </c>
    </row>
    <row r="315" spans="1:9" ht="14.25" customHeight="1" x14ac:dyDescent="0.3">
      <c r="A315" s="2" t="s">
        <v>337</v>
      </c>
      <c r="B315" s="2" t="s">
        <v>29</v>
      </c>
      <c r="C315" s="2" t="s">
        <v>20</v>
      </c>
      <c r="D315" s="2">
        <v>96236</v>
      </c>
      <c r="E315" s="2">
        <v>1722830</v>
      </c>
      <c r="F315" s="2" t="s">
        <v>4</v>
      </c>
      <c r="G315" s="5">
        <v>45595</v>
      </c>
      <c r="H315" s="9">
        <f>WEEKNUM(G315,2)</f>
        <v>44</v>
      </c>
      <c r="I315" s="2">
        <f>IF(F315="Thành công", E315-D315, 0)</f>
        <v>1626594</v>
      </c>
    </row>
    <row r="316" spans="1:9" ht="14.25" customHeight="1" x14ac:dyDescent="0.3">
      <c r="A316" s="2" t="s">
        <v>338</v>
      </c>
      <c r="B316" s="2" t="s">
        <v>25</v>
      </c>
      <c r="C316" s="2" t="s">
        <v>12</v>
      </c>
      <c r="D316" s="2">
        <v>14173</v>
      </c>
      <c r="E316" s="2">
        <v>1371478</v>
      </c>
      <c r="F316" s="2" t="s">
        <v>4</v>
      </c>
      <c r="G316" s="3">
        <v>45423</v>
      </c>
      <c r="H316" s="9">
        <f>WEEKNUM(G316,2)</f>
        <v>19</v>
      </c>
      <c r="I316" s="2">
        <f>IF(F316="Thành công", E316-D316, 0)</f>
        <v>1357305</v>
      </c>
    </row>
    <row r="317" spans="1:9" ht="14.25" customHeight="1" x14ac:dyDescent="0.3">
      <c r="A317" s="2" t="s">
        <v>339</v>
      </c>
      <c r="B317" s="2" t="s">
        <v>22</v>
      </c>
      <c r="C317" s="2" t="s">
        <v>35</v>
      </c>
      <c r="D317" s="2">
        <v>33859</v>
      </c>
      <c r="E317" s="2">
        <v>698196</v>
      </c>
      <c r="F317" s="2" t="s">
        <v>4</v>
      </c>
      <c r="G317" s="3">
        <v>45394</v>
      </c>
      <c r="H317" s="9">
        <f>WEEKNUM(G317,2)</f>
        <v>15</v>
      </c>
      <c r="I317" s="2">
        <f>IF(F317="Thành công", E317-D317, 0)</f>
        <v>664337</v>
      </c>
    </row>
    <row r="318" spans="1:9" ht="14.25" customHeight="1" x14ac:dyDescent="0.3">
      <c r="A318" s="2" t="s">
        <v>340</v>
      </c>
      <c r="B318" s="2" t="s">
        <v>29</v>
      </c>
      <c r="C318" s="2" t="s">
        <v>20</v>
      </c>
      <c r="D318" s="2">
        <v>7285</v>
      </c>
      <c r="E318" s="2">
        <v>1561518</v>
      </c>
      <c r="F318" s="2" t="s">
        <v>4</v>
      </c>
      <c r="G318" s="5">
        <v>45582</v>
      </c>
      <c r="H318" s="9">
        <f>WEEKNUM(G318,2)</f>
        <v>42</v>
      </c>
      <c r="I318" s="2">
        <f>IF(F318="Thành công", E318-D318, 0)</f>
        <v>1554233</v>
      </c>
    </row>
    <row r="319" spans="1:9" ht="14.25" customHeight="1" x14ac:dyDescent="0.3">
      <c r="A319" s="2" t="s">
        <v>341</v>
      </c>
      <c r="B319" s="2" t="s">
        <v>14</v>
      </c>
      <c r="C319" s="2" t="s">
        <v>20</v>
      </c>
      <c r="D319" s="2">
        <v>11049</v>
      </c>
      <c r="E319" s="2">
        <v>1635003</v>
      </c>
      <c r="F319" s="2" t="s">
        <v>4</v>
      </c>
      <c r="G319" s="5">
        <v>45649</v>
      </c>
      <c r="H319" s="9">
        <f>WEEKNUM(G319,2)</f>
        <v>52</v>
      </c>
      <c r="I319" s="2">
        <f>IF(F319="Thành công", E319-D319, 0)</f>
        <v>1623954</v>
      </c>
    </row>
    <row r="320" spans="1:9" ht="14.25" customHeight="1" x14ac:dyDescent="0.3">
      <c r="A320" s="2" t="s">
        <v>342</v>
      </c>
      <c r="B320" s="2" t="s">
        <v>46</v>
      </c>
      <c r="C320" s="2" t="s">
        <v>12</v>
      </c>
      <c r="D320" s="2">
        <v>2061</v>
      </c>
      <c r="E320" s="2">
        <v>1537765</v>
      </c>
      <c r="F320" s="2" t="s">
        <v>4</v>
      </c>
      <c r="G320" s="3">
        <v>45606</v>
      </c>
      <c r="H320" s="9">
        <f>WEEKNUM(G320,2)</f>
        <v>45</v>
      </c>
      <c r="I320" s="2">
        <f>IF(F320="Thành công", E320-D320, 0)</f>
        <v>1535704</v>
      </c>
    </row>
    <row r="321" spans="1:9" ht="14.25" customHeight="1" x14ac:dyDescent="0.3">
      <c r="A321" s="2" t="s">
        <v>343</v>
      </c>
      <c r="B321" s="2" t="s">
        <v>17</v>
      </c>
      <c r="C321" s="2" t="s">
        <v>8</v>
      </c>
      <c r="D321" s="2">
        <v>129491</v>
      </c>
      <c r="E321" s="2">
        <v>0</v>
      </c>
      <c r="F321" s="2" t="s">
        <v>5</v>
      </c>
      <c r="G321" s="5">
        <v>45613</v>
      </c>
      <c r="H321" s="9">
        <f>WEEKNUM(G321,2)</f>
        <v>46</v>
      </c>
      <c r="I321" s="2">
        <f>IF(F321="Thành công", E321-D321, 0)</f>
        <v>0</v>
      </c>
    </row>
    <row r="322" spans="1:9" ht="14.25" customHeight="1" x14ac:dyDescent="0.3">
      <c r="A322" s="2" t="s">
        <v>344</v>
      </c>
      <c r="B322" s="2" t="s">
        <v>10</v>
      </c>
      <c r="C322" s="2" t="s">
        <v>31</v>
      </c>
      <c r="D322" s="2">
        <v>68913</v>
      </c>
      <c r="E322" s="2">
        <v>814175</v>
      </c>
      <c r="F322" s="2" t="s">
        <v>4</v>
      </c>
      <c r="G322" s="3">
        <v>45302</v>
      </c>
      <c r="H322" s="9">
        <f>WEEKNUM(G322,2)</f>
        <v>2</v>
      </c>
      <c r="I322" s="2">
        <f>IF(F322="Thành công", E322-D322, 0)</f>
        <v>745262</v>
      </c>
    </row>
    <row r="323" spans="1:9" ht="14.25" customHeight="1" x14ac:dyDescent="0.3">
      <c r="A323" s="2" t="s">
        <v>345</v>
      </c>
      <c r="B323" s="2" t="s">
        <v>17</v>
      </c>
      <c r="C323" s="2" t="s">
        <v>74</v>
      </c>
      <c r="D323" s="2">
        <v>9025</v>
      </c>
      <c r="E323" s="2">
        <v>1643886</v>
      </c>
      <c r="F323" s="2" t="s">
        <v>4</v>
      </c>
      <c r="G323" s="5">
        <v>45623</v>
      </c>
      <c r="H323" s="9">
        <f>WEEKNUM(G323,2)</f>
        <v>48</v>
      </c>
      <c r="I323" s="2">
        <f>IF(F323="Thành công", E323-D323, 0)</f>
        <v>1634861</v>
      </c>
    </row>
    <row r="324" spans="1:9" ht="14.25" customHeight="1" x14ac:dyDescent="0.3">
      <c r="A324" s="2" t="s">
        <v>346</v>
      </c>
      <c r="B324" s="2" t="s">
        <v>42</v>
      </c>
      <c r="C324" s="2" t="s">
        <v>8</v>
      </c>
      <c r="D324" s="2">
        <v>125773</v>
      </c>
      <c r="E324" s="2">
        <v>456944</v>
      </c>
      <c r="F324" s="2" t="s">
        <v>4</v>
      </c>
      <c r="G324" s="3">
        <v>45363</v>
      </c>
      <c r="H324" s="9">
        <f>WEEKNUM(G324,2)</f>
        <v>11</v>
      </c>
      <c r="I324" s="2">
        <f>IF(F324="Thành công", E324-D324, 0)</f>
        <v>331171</v>
      </c>
    </row>
    <row r="325" spans="1:9" ht="14.25" customHeight="1" x14ac:dyDescent="0.3">
      <c r="A325" s="2" t="s">
        <v>347</v>
      </c>
      <c r="B325" s="2" t="s">
        <v>46</v>
      </c>
      <c r="C325" s="2" t="s">
        <v>23</v>
      </c>
      <c r="D325" s="2">
        <v>170105</v>
      </c>
      <c r="E325" s="2">
        <v>1004575</v>
      </c>
      <c r="F325" s="2" t="s">
        <v>4</v>
      </c>
      <c r="G325" s="3">
        <v>45333</v>
      </c>
      <c r="H325" s="9">
        <f>WEEKNUM(G325,2)</f>
        <v>6</v>
      </c>
      <c r="I325" s="2">
        <f>IF(F325="Thành công", E325-D325, 0)</f>
        <v>834470</v>
      </c>
    </row>
    <row r="326" spans="1:9" ht="14.25" customHeight="1" x14ac:dyDescent="0.3">
      <c r="A326" s="2" t="s">
        <v>348</v>
      </c>
      <c r="B326" s="2" t="s">
        <v>14</v>
      </c>
      <c r="C326" s="2" t="s">
        <v>31</v>
      </c>
      <c r="D326" s="2">
        <v>83833</v>
      </c>
      <c r="E326" s="2">
        <v>0</v>
      </c>
      <c r="F326" s="2" t="s">
        <v>5</v>
      </c>
      <c r="G326" s="3">
        <v>45454</v>
      </c>
      <c r="H326" s="9">
        <f>WEEKNUM(G326,2)</f>
        <v>24</v>
      </c>
      <c r="I326" s="2">
        <f>IF(F326="Thành công", E326-D326, 0)</f>
        <v>0</v>
      </c>
    </row>
    <row r="327" spans="1:9" ht="14.25" customHeight="1" x14ac:dyDescent="0.3">
      <c r="A327" s="2" t="s">
        <v>349</v>
      </c>
      <c r="B327" s="2" t="s">
        <v>22</v>
      </c>
      <c r="C327" s="2" t="s">
        <v>18</v>
      </c>
      <c r="D327" s="2">
        <v>80712</v>
      </c>
      <c r="E327" s="2">
        <v>1937969</v>
      </c>
      <c r="F327" s="2" t="s">
        <v>4</v>
      </c>
      <c r="G327" s="3">
        <v>45608</v>
      </c>
      <c r="H327" s="9">
        <f>WEEKNUM(G327,2)</f>
        <v>46</v>
      </c>
      <c r="I327" s="2">
        <f>IF(F327="Thành công", E327-D327, 0)</f>
        <v>1857257</v>
      </c>
    </row>
    <row r="328" spans="1:9" ht="14.25" customHeight="1" x14ac:dyDescent="0.3">
      <c r="A328" s="2" t="s">
        <v>350</v>
      </c>
      <c r="B328" s="2" t="s">
        <v>22</v>
      </c>
      <c r="C328" s="2" t="s">
        <v>8</v>
      </c>
      <c r="D328" s="2">
        <v>40273</v>
      </c>
      <c r="E328" s="2">
        <v>1440115</v>
      </c>
      <c r="F328" s="2" t="s">
        <v>4</v>
      </c>
      <c r="G328" s="5">
        <v>45588</v>
      </c>
      <c r="H328" s="9">
        <f>WEEKNUM(G328,2)</f>
        <v>43</v>
      </c>
      <c r="I328" s="2">
        <f>IF(F328="Thành công", E328-D328, 0)</f>
        <v>1399842</v>
      </c>
    </row>
    <row r="329" spans="1:9" ht="14.25" customHeight="1" x14ac:dyDescent="0.3">
      <c r="A329" s="2" t="s">
        <v>351</v>
      </c>
      <c r="B329" s="2" t="s">
        <v>29</v>
      </c>
      <c r="C329" s="2" t="s">
        <v>31</v>
      </c>
      <c r="D329" s="2">
        <v>46641</v>
      </c>
      <c r="E329" s="2">
        <v>1403574</v>
      </c>
      <c r="F329" s="2" t="s">
        <v>4</v>
      </c>
      <c r="G329" s="5">
        <v>45596</v>
      </c>
      <c r="H329" s="9">
        <f>WEEKNUM(G329,2)</f>
        <v>44</v>
      </c>
      <c r="I329" s="2">
        <f>IF(F329="Thành công", E329-D329, 0)</f>
        <v>1356933</v>
      </c>
    </row>
    <row r="330" spans="1:9" ht="14.25" customHeight="1" x14ac:dyDescent="0.3">
      <c r="A330" s="2" t="s">
        <v>352</v>
      </c>
      <c r="B330" s="2" t="s">
        <v>7</v>
      </c>
      <c r="C330" s="2" t="s">
        <v>8</v>
      </c>
      <c r="D330" s="2">
        <v>89869</v>
      </c>
      <c r="E330" s="2">
        <v>1450346</v>
      </c>
      <c r="F330" s="2" t="s">
        <v>4</v>
      </c>
      <c r="G330" s="3">
        <v>45334</v>
      </c>
      <c r="H330" s="9">
        <f>WEEKNUM(G330,2)</f>
        <v>7</v>
      </c>
      <c r="I330" s="2">
        <f>IF(F330="Thành công", E330-D330, 0)</f>
        <v>1360477</v>
      </c>
    </row>
    <row r="331" spans="1:9" ht="14.25" customHeight="1" x14ac:dyDescent="0.3">
      <c r="A331" s="2" t="s">
        <v>353</v>
      </c>
      <c r="B331" s="2" t="s">
        <v>14</v>
      </c>
      <c r="C331" s="2" t="s">
        <v>12</v>
      </c>
      <c r="D331" s="2">
        <v>26147</v>
      </c>
      <c r="E331" s="2">
        <v>442787</v>
      </c>
      <c r="F331" s="2" t="s">
        <v>4</v>
      </c>
      <c r="G331" s="3">
        <v>45577</v>
      </c>
      <c r="H331" s="9">
        <f>WEEKNUM(G331,2)</f>
        <v>41</v>
      </c>
      <c r="I331" s="2">
        <f>IF(F331="Thành công", E331-D331, 0)</f>
        <v>416640</v>
      </c>
    </row>
    <row r="332" spans="1:9" ht="14.25" customHeight="1" x14ac:dyDescent="0.3">
      <c r="A332" s="2" t="s">
        <v>354</v>
      </c>
      <c r="B332" s="2" t="s">
        <v>46</v>
      </c>
      <c r="C332" s="2" t="s">
        <v>35</v>
      </c>
      <c r="D332" s="2">
        <v>23722</v>
      </c>
      <c r="E332" s="2">
        <v>1893982</v>
      </c>
      <c r="F332" s="2" t="s">
        <v>4</v>
      </c>
      <c r="G332" s="3">
        <v>45393</v>
      </c>
      <c r="H332" s="9">
        <f>WEEKNUM(G332,2)</f>
        <v>15</v>
      </c>
      <c r="I332" s="2">
        <f>IF(F332="Thành công", E332-D332, 0)</f>
        <v>1870260</v>
      </c>
    </row>
    <row r="333" spans="1:9" ht="14.25" customHeight="1" x14ac:dyDescent="0.3">
      <c r="A333" s="2" t="s">
        <v>355</v>
      </c>
      <c r="B333" s="2" t="s">
        <v>22</v>
      </c>
      <c r="C333" s="2" t="s">
        <v>23</v>
      </c>
      <c r="D333" s="2">
        <v>94317</v>
      </c>
      <c r="E333" s="2">
        <v>0</v>
      </c>
      <c r="F333" s="2" t="s">
        <v>5</v>
      </c>
      <c r="G333" s="3">
        <v>45546</v>
      </c>
      <c r="H333" s="9">
        <f>WEEKNUM(G333,2)</f>
        <v>37</v>
      </c>
      <c r="I333" s="2">
        <f>IF(F333="Thành công", E333-D333, 0)</f>
        <v>0</v>
      </c>
    </row>
    <row r="334" spans="1:9" ht="14.25" customHeight="1" x14ac:dyDescent="0.3">
      <c r="A334" s="2" t="s">
        <v>356</v>
      </c>
      <c r="B334" s="2" t="s">
        <v>27</v>
      </c>
      <c r="C334" s="2" t="s">
        <v>20</v>
      </c>
      <c r="D334" s="2">
        <v>55568</v>
      </c>
      <c r="E334" s="2">
        <v>0</v>
      </c>
      <c r="F334" s="2" t="s">
        <v>5</v>
      </c>
      <c r="G334" s="3">
        <v>45303</v>
      </c>
      <c r="H334" s="9">
        <f>WEEKNUM(G334,2)</f>
        <v>2</v>
      </c>
      <c r="I334" s="2">
        <f>IF(F334="Thành công", E334-D334, 0)</f>
        <v>0</v>
      </c>
    </row>
    <row r="335" spans="1:9" ht="14.25" customHeight="1" x14ac:dyDescent="0.3">
      <c r="A335" s="2" t="s">
        <v>357</v>
      </c>
      <c r="B335" s="2" t="s">
        <v>7</v>
      </c>
      <c r="C335" s="2" t="s">
        <v>8</v>
      </c>
      <c r="D335" s="2">
        <v>98023</v>
      </c>
      <c r="E335" s="2">
        <v>0</v>
      </c>
      <c r="F335" s="2" t="s">
        <v>5</v>
      </c>
      <c r="G335" s="5">
        <v>45611</v>
      </c>
      <c r="H335" s="9">
        <f>WEEKNUM(G335,2)</f>
        <v>46</v>
      </c>
      <c r="I335" s="2">
        <f>IF(F335="Thành công", E335-D335, 0)</f>
        <v>0</v>
      </c>
    </row>
    <row r="336" spans="1:9" ht="14.25" customHeight="1" x14ac:dyDescent="0.3">
      <c r="A336" s="2" t="s">
        <v>358</v>
      </c>
      <c r="B336" s="2" t="s">
        <v>22</v>
      </c>
      <c r="C336" s="2" t="s">
        <v>31</v>
      </c>
      <c r="D336" s="2">
        <v>70466</v>
      </c>
      <c r="E336" s="2">
        <v>1811404</v>
      </c>
      <c r="F336" s="2" t="s">
        <v>4</v>
      </c>
      <c r="G336" s="5">
        <v>45656</v>
      </c>
      <c r="H336" s="9">
        <f>WEEKNUM(G336,2)</f>
        <v>53</v>
      </c>
      <c r="I336" s="2">
        <f>IF(F336="Thành công", E336-D336, 0)</f>
        <v>1740938</v>
      </c>
    </row>
    <row r="337" spans="1:9" ht="14.25" customHeight="1" x14ac:dyDescent="0.3">
      <c r="A337" s="2" t="s">
        <v>359</v>
      </c>
      <c r="B337" s="2" t="s">
        <v>7</v>
      </c>
      <c r="C337" s="2" t="s">
        <v>23</v>
      </c>
      <c r="D337" s="2">
        <v>128373</v>
      </c>
      <c r="E337" s="2">
        <v>1318425</v>
      </c>
      <c r="F337" s="2" t="s">
        <v>4</v>
      </c>
      <c r="G337" s="3">
        <v>45514</v>
      </c>
      <c r="H337" s="9">
        <f>WEEKNUM(G337,2)</f>
        <v>32</v>
      </c>
      <c r="I337" s="2">
        <f>IF(F337="Thành công", E337-D337, 0)</f>
        <v>1190052</v>
      </c>
    </row>
    <row r="338" spans="1:9" ht="14.25" customHeight="1" x14ac:dyDescent="0.3">
      <c r="A338" s="2" t="s">
        <v>360</v>
      </c>
      <c r="B338" s="2" t="s">
        <v>25</v>
      </c>
      <c r="C338" s="2" t="s">
        <v>12</v>
      </c>
      <c r="D338" s="2">
        <v>14801</v>
      </c>
      <c r="E338" s="2">
        <v>309991</v>
      </c>
      <c r="F338" s="2" t="s">
        <v>4</v>
      </c>
      <c r="G338" s="3">
        <v>45608</v>
      </c>
      <c r="H338" s="9">
        <f>WEEKNUM(G338,2)</f>
        <v>46</v>
      </c>
      <c r="I338" s="2">
        <f>IF(F338="Thành công", E338-D338, 0)</f>
        <v>295190</v>
      </c>
    </row>
    <row r="339" spans="1:9" ht="14.25" customHeight="1" x14ac:dyDescent="0.3">
      <c r="A339" s="2" t="s">
        <v>361</v>
      </c>
      <c r="B339" s="2" t="s">
        <v>22</v>
      </c>
      <c r="C339" s="2" t="s">
        <v>8</v>
      </c>
      <c r="D339" s="2">
        <v>88528</v>
      </c>
      <c r="E339" s="2">
        <v>469339</v>
      </c>
      <c r="F339" s="2" t="s">
        <v>4</v>
      </c>
      <c r="G339" s="5">
        <v>45585</v>
      </c>
      <c r="H339" s="9">
        <f>WEEKNUM(G339,2)</f>
        <v>42</v>
      </c>
      <c r="I339" s="2">
        <f>IF(F339="Thành công", E339-D339, 0)</f>
        <v>380811</v>
      </c>
    </row>
    <row r="340" spans="1:9" ht="14.25" customHeight="1" x14ac:dyDescent="0.3">
      <c r="A340" s="2" t="s">
        <v>362</v>
      </c>
      <c r="B340" s="2" t="s">
        <v>7</v>
      </c>
      <c r="C340" s="2" t="s">
        <v>8</v>
      </c>
      <c r="D340" s="2">
        <v>50838</v>
      </c>
      <c r="E340" s="2">
        <v>661154</v>
      </c>
      <c r="F340" s="2" t="s">
        <v>4</v>
      </c>
      <c r="G340" s="3">
        <v>45393</v>
      </c>
      <c r="H340" s="9">
        <f>WEEKNUM(G340,2)</f>
        <v>15</v>
      </c>
      <c r="I340" s="2">
        <f>IF(F340="Thành công", E340-D340, 0)</f>
        <v>610316</v>
      </c>
    </row>
    <row r="341" spans="1:9" ht="14.25" customHeight="1" x14ac:dyDescent="0.3">
      <c r="A341" s="2" t="s">
        <v>363</v>
      </c>
      <c r="B341" s="2" t="s">
        <v>27</v>
      </c>
      <c r="C341" s="2" t="s">
        <v>31</v>
      </c>
      <c r="D341" s="2">
        <v>48506</v>
      </c>
      <c r="E341" s="2">
        <v>279998</v>
      </c>
      <c r="F341" s="2" t="s">
        <v>4</v>
      </c>
      <c r="G341" s="5">
        <v>45585</v>
      </c>
      <c r="H341" s="9">
        <f>WEEKNUM(G341,2)</f>
        <v>42</v>
      </c>
      <c r="I341" s="2">
        <f>IF(F341="Thành công", E341-D341, 0)</f>
        <v>231492</v>
      </c>
    </row>
    <row r="342" spans="1:9" ht="14.25" customHeight="1" x14ac:dyDescent="0.3"/>
    <row r="343" spans="1:9" ht="14.25" customHeight="1" x14ac:dyDescent="0.3">
      <c r="G343"/>
      <c r="H343"/>
    </row>
    <row r="344" spans="1:9" ht="14.25" customHeight="1" x14ac:dyDescent="0.3">
      <c r="G344"/>
      <c r="H344"/>
    </row>
    <row r="345" spans="1:9" ht="14.25" customHeight="1" x14ac:dyDescent="0.3">
      <c r="G345"/>
      <c r="H345"/>
    </row>
    <row r="346" spans="1:9" ht="14.25" customHeight="1" x14ac:dyDescent="0.3">
      <c r="G346"/>
      <c r="H346"/>
    </row>
    <row r="347" spans="1:9" ht="14.25" customHeight="1" x14ac:dyDescent="0.3">
      <c r="G347"/>
      <c r="H347"/>
    </row>
    <row r="348" spans="1:9" ht="14.25" customHeight="1" x14ac:dyDescent="0.3">
      <c r="G348"/>
      <c r="H348"/>
    </row>
    <row r="349" spans="1:9" ht="14.25" customHeight="1" x14ac:dyDescent="0.3">
      <c r="G349"/>
      <c r="H349"/>
    </row>
    <row r="350" spans="1:9" ht="14.25" customHeight="1" x14ac:dyDescent="0.3">
      <c r="G350"/>
      <c r="H350"/>
    </row>
    <row r="351" spans="1:9" ht="14.25" customHeight="1" x14ac:dyDescent="0.3">
      <c r="G351"/>
      <c r="H351"/>
    </row>
    <row r="352" spans="1:9" ht="14.25" customHeight="1" x14ac:dyDescent="0.3">
      <c r="G352"/>
      <c r="H352"/>
    </row>
    <row r="353" spans="7:8" ht="14.25" customHeight="1" x14ac:dyDescent="0.3">
      <c r="G353"/>
      <c r="H353"/>
    </row>
    <row r="354" spans="7:8" ht="14.25" customHeight="1" x14ac:dyDescent="0.3">
      <c r="G354"/>
      <c r="H354"/>
    </row>
    <row r="355" spans="7:8" ht="14.25" customHeight="1" x14ac:dyDescent="0.3">
      <c r="G355"/>
      <c r="H355"/>
    </row>
    <row r="356" spans="7:8" ht="14.25" customHeight="1" x14ac:dyDescent="0.3">
      <c r="G356"/>
      <c r="H356"/>
    </row>
    <row r="357" spans="7:8" ht="14.25" customHeight="1" x14ac:dyDescent="0.3">
      <c r="G357"/>
      <c r="H357"/>
    </row>
    <row r="358" spans="7:8" ht="14.25" customHeight="1" x14ac:dyDescent="0.3">
      <c r="G358"/>
      <c r="H358"/>
    </row>
    <row r="359" spans="7:8" ht="14.25" customHeight="1" x14ac:dyDescent="0.3">
      <c r="G359"/>
      <c r="H359"/>
    </row>
    <row r="360" spans="7:8" ht="14.25" customHeight="1" x14ac:dyDescent="0.3">
      <c r="G360"/>
      <c r="H360"/>
    </row>
    <row r="361" spans="7:8" ht="14.25" customHeight="1" x14ac:dyDescent="0.3">
      <c r="G361"/>
      <c r="H361"/>
    </row>
    <row r="362" spans="7:8" ht="14.25" customHeight="1" x14ac:dyDescent="0.3">
      <c r="G362"/>
      <c r="H362"/>
    </row>
    <row r="363" spans="7:8" ht="14.25" customHeight="1" x14ac:dyDescent="0.3">
      <c r="G363"/>
      <c r="H363"/>
    </row>
    <row r="364" spans="7:8" ht="14.25" customHeight="1" x14ac:dyDescent="0.3">
      <c r="G364"/>
      <c r="H364"/>
    </row>
    <row r="365" spans="7:8" ht="14.25" customHeight="1" x14ac:dyDescent="0.3">
      <c r="G365"/>
      <c r="H365"/>
    </row>
    <row r="366" spans="7:8" ht="14.25" customHeight="1" x14ac:dyDescent="0.3">
      <c r="G366"/>
      <c r="H366"/>
    </row>
    <row r="367" spans="7:8" ht="14.25" customHeight="1" x14ac:dyDescent="0.3">
      <c r="G367"/>
      <c r="H367"/>
    </row>
    <row r="368" spans="7:8" ht="14.25" customHeight="1" x14ac:dyDescent="0.3">
      <c r="G368"/>
      <c r="H368"/>
    </row>
    <row r="369" spans="7:8" ht="14.25" customHeight="1" x14ac:dyDescent="0.3">
      <c r="G369"/>
      <c r="H369"/>
    </row>
    <row r="370" spans="7:8" ht="14.25" customHeight="1" x14ac:dyDescent="0.3">
      <c r="G370"/>
      <c r="H370"/>
    </row>
    <row r="371" spans="7:8" ht="14.25" customHeight="1" x14ac:dyDescent="0.3">
      <c r="G371"/>
      <c r="H371"/>
    </row>
    <row r="372" spans="7:8" ht="14.25" customHeight="1" x14ac:dyDescent="0.3">
      <c r="G372"/>
      <c r="H372"/>
    </row>
    <row r="373" spans="7:8" ht="14.25" customHeight="1" x14ac:dyDescent="0.3">
      <c r="G373"/>
      <c r="H373"/>
    </row>
    <row r="374" spans="7:8" ht="14.25" customHeight="1" x14ac:dyDescent="0.3">
      <c r="G374"/>
      <c r="H374"/>
    </row>
    <row r="375" spans="7:8" ht="14.25" customHeight="1" x14ac:dyDescent="0.3">
      <c r="G375"/>
      <c r="H375"/>
    </row>
    <row r="376" spans="7:8" ht="14.25" customHeight="1" x14ac:dyDescent="0.3">
      <c r="G376"/>
      <c r="H376"/>
    </row>
    <row r="377" spans="7:8" ht="14.25" customHeight="1" x14ac:dyDescent="0.3">
      <c r="G377"/>
      <c r="H377"/>
    </row>
    <row r="378" spans="7:8" ht="14.25" customHeight="1" x14ac:dyDescent="0.3">
      <c r="G378"/>
      <c r="H378"/>
    </row>
    <row r="379" spans="7:8" ht="14.25" customHeight="1" x14ac:dyDescent="0.3">
      <c r="G379"/>
      <c r="H379"/>
    </row>
    <row r="380" spans="7:8" ht="14.25" customHeight="1" x14ac:dyDescent="0.3">
      <c r="G380"/>
      <c r="H380"/>
    </row>
    <row r="381" spans="7:8" ht="14.25" customHeight="1" x14ac:dyDescent="0.3">
      <c r="G381"/>
      <c r="H381"/>
    </row>
    <row r="382" spans="7:8" ht="14.25" customHeight="1" x14ac:dyDescent="0.3">
      <c r="G382"/>
      <c r="H382"/>
    </row>
    <row r="383" spans="7:8" ht="14.25" customHeight="1" x14ac:dyDescent="0.3">
      <c r="G383"/>
      <c r="H383"/>
    </row>
    <row r="384" spans="7:8" ht="14.25" customHeight="1" x14ac:dyDescent="0.3">
      <c r="G384"/>
      <c r="H384"/>
    </row>
    <row r="385" spans="7:8" ht="14.25" customHeight="1" x14ac:dyDescent="0.3">
      <c r="G385"/>
      <c r="H385"/>
    </row>
    <row r="386" spans="7:8" ht="14.25" customHeight="1" x14ac:dyDescent="0.3">
      <c r="G386"/>
      <c r="H386"/>
    </row>
    <row r="387" spans="7:8" ht="14.25" customHeight="1" x14ac:dyDescent="0.3">
      <c r="G387"/>
      <c r="H387"/>
    </row>
    <row r="388" spans="7:8" ht="14.25" customHeight="1" x14ac:dyDescent="0.3">
      <c r="G388"/>
      <c r="H388"/>
    </row>
    <row r="389" spans="7:8" ht="14.25" customHeight="1" x14ac:dyDescent="0.3">
      <c r="G389"/>
      <c r="H389"/>
    </row>
    <row r="390" spans="7:8" ht="14.25" customHeight="1" x14ac:dyDescent="0.3">
      <c r="G390"/>
      <c r="H390"/>
    </row>
    <row r="391" spans="7:8" ht="14.25" customHeight="1" x14ac:dyDescent="0.3">
      <c r="G391"/>
      <c r="H391"/>
    </row>
    <row r="392" spans="7:8" ht="14.25" customHeight="1" x14ac:dyDescent="0.3">
      <c r="G392"/>
      <c r="H392"/>
    </row>
    <row r="393" spans="7:8" ht="14.25" customHeight="1" x14ac:dyDescent="0.3">
      <c r="G393"/>
      <c r="H393"/>
    </row>
    <row r="394" spans="7:8" ht="14.25" customHeight="1" x14ac:dyDescent="0.3">
      <c r="G394"/>
      <c r="H394"/>
    </row>
    <row r="395" spans="7:8" ht="14.25" customHeight="1" x14ac:dyDescent="0.3">
      <c r="G395"/>
      <c r="H395"/>
    </row>
    <row r="396" spans="7:8" ht="14.25" customHeight="1" x14ac:dyDescent="0.3">
      <c r="G396"/>
      <c r="H396"/>
    </row>
    <row r="397" spans="7:8" ht="14.25" customHeight="1" x14ac:dyDescent="0.3">
      <c r="G397"/>
      <c r="H397"/>
    </row>
    <row r="398" spans="7:8" ht="14.25" customHeight="1" x14ac:dyDescent="0.3">
      <c r="G398"/>
      <c r="H398"/>
    </row>
    <row r="399" spans="7:8" ht="14.25" customHeight="1" x14ac:dyDescent="0.3">
      <c r="G399"/>
      <c r="H399"/>
    </row>
    <row r="400" spans="7:8" ht="14.25" customHeight="1" x14ac:dyDescent="0.3">
      <c r="G400"/>
      <c r="H400"/>
    </row>
    <row r="401" spans="7:8" ht="14.25" customHeight="1" x14ac:dyDescent="0.3">
      <c r="G401"/>
      <c r="H401"/>
    </row>
    <row r="402" spans="7:8" ht="14.25" customHeight="1" x14ac:dyDescent="0.3">
      <c r="G402"/>
      <c r="H402"/>
    </row>
    <row r="403" spans="7:8" ht="14.25" customHeight="1" x14ac:dyDescent="0.3">
      <c r="G403"/>
      <c r="H403"/>
    </row>
    <row r="404" spans="7:8" ht="14.25" customHeight="1" x14ac:dyDescent="0.3">
      <c r="G404"/>
      <c r="H404"/>
    </row>
    <row r="405" spans="7:8" ht="14.25" customHeight="1" x14ac:dyDescent="0.3">
      <c r="G405"/>
      <c r="H405"/>
    </row>
    <row r="406" spans="7:8" ht="14.25" customHeight="1" x14ac:dyDescent="0.3">
      <c r="G406"/>
      <c r="H406"/>
    </row>
    <row r="407" spans="7:8" ht="14.25" customHeight="1" x14ac:dyDescent="0.3">
      <c r="G407"/>
      <c r="H407"/>
    </row>
    <row r="408" spans="7:8" ht="14.25" customHeight="1" x14ac:dyDescent="0.3">
      <c r="G408"/>
      <c r="H408"/>
    </row>
    <row r="409" spans="7:8" ht="14.25" customHeight="1" x14ac:dyDescent="0.3">
      <c r="G409"/>
      <c r="H409"/>
    </row>
    <row r="410" spans="7:8" ht="14.25" customHeight="1" x14ac:dyDescent="0.3">
      <c r="G410"/>
      <c r="H410"/>
    </row>
    <row r="411" spans="7:8" ht="14.25" customHeight="1" x14ac:dyDescent="0.3">
      <c r="G411"/>
      <c r="H411"/>
    </row>
    <row r="412" spans="7:8" ht="14.25" customHeight="1" x14ac:dyDescent="0.3">
      <c r="G412"/>
      <c r="H412"/>
    </row>
    <row r="413" spans="7:8" ht="14.25" customHeight="1" x14ac:dyDescent="0.3">
      <c r="G413"/>
      <c r="H413"/>
    </row>
    <row r="414" spans="7:8" ht="14.25" customHeight="1" x14ac:dyDescent="0.3">
      <c r="G414"/>
      <c r="H414"/>
    </row>
    <row r="415" spans="7:8" ht="14.25" customHeight="1" x14ac:dyDescent="0.3">
      <c r="G415"/>
      <c r="H415"/>
    </row>
    <row r="416" spans="7:8" ht="14.25" customHeight="1" x14ac:dyDescent="0.3">
      <c r="G416"/>
      <c r="H416"/>
    </row>
    <row r="417" spans="7:8" ht="14.25" customHeight="1" x14ac:dyDescent="0.3">
      <c r="G417"/>
      <c r="H417"/>
    </row>
    <row r="418" spans="7:8" ht="14.25" customHeight="1" x14ac:dyDescent="0.3">
      <c r="G418"/>
      <c r="H418"/>
    </row>
    <row r="419" spans="7:8" ht="14.25" customHeight="1" x14ac:dyDescent="0.3">
      <c r="G419"/>
      <c r="H419"/>
    </row>
    <row r="420" spans="7:8" ht="14.25" customHeight="1" x14ac:dyDescent="0.3">
      <c r="G420"/>
      <c r="H420"/>
    </row>
    <row r="421" spans="7:8" ht="14.25" customHeight="1" x14ac:dyDescent="0.3">
      <c r="G421"/>
      <c r="H421"/>
    </row>
    <row r="422" spans="7:8" ht="14.25" customHeight="1" x14ac:dyDescent="0.3">
      <c r="G422"/>
      <c r="H422"/>
    </row>
    <row r="423" spans="7:8" ht="14.25" customHeight="1" x14ac:dyDescent="0.3">
      <c r="G423"/>
      <c r="H423"/>
    </row>
    <row r="424" spans="7:8" ht="14.25" customHeight="1" x14ac:dyDescent="0.3">
      <c r="G424"/>
      <c r="H424"/>
    </row>
    <row r="425" spans="7:8" ht="14.25" customHeight="1" x14ac:dyDescent="0.3">
      <c r="G425"/>
      <c r="H425"/>
    </row>
    <row r="426" spans="7:8" ht="14.25" customHeight="1" x14ac:dyDescent="0.3">
      <c r="G426"/>
      <c r="H426"/>
    </row>
    <row r="427" spans="7:8" ht="14.25" customHeight="1" x14ac:dyDescent="0.3">
      <c r="G427"/>
      <c r="H427"/>
    </row>
    <row r="428" spans="7:8" ht="14.25" customHeight="1" x14ac:dyDescent="0.3">
      <c r="G428"/>
      <c r="H428"/>
    </row>
    <row r="429" spans="7:8" ht="14.25" customHeight="1" x14ac:dyDescent="0.3">
      <c r="G429"/>
      <c r="H429"/>
    </row>
    <row r="430" spans="7:8" ht="14.25" customHeight="1" x14ac:dyDescent="0.3">
      <c r="G430"/>
      <c r="H430"/>
    </row>
    <row r="431" spans="7:8" ht="14.25" customHeight="1" x14ac:dyDescent="0.3">
      <c r="G431"/>
      <c r="H431"/>
    </row>
    <row r="432" spans="7:8" ht="14.25" customHeight="1" x14ac:dyDescent="0.3">
      <c r="G432"/>
      <c r="H432"/>
    </row>
    <row r="433" spans="7:8" ht="14.25" customHeight="1" x14ac:dyDescent="0.3">
      <c r="G433"/>
      <c r="H433"/>
    </row>
    <row r="434" spans="7:8" ht="14.25" customHeight="1" x14ac:dyDescent="0.3">
      <c r="G434"/>
      <c r="H434"/>
    </row>
    <row r="435" spans="7:8" ht="14.25" customHeight="1" x14ac:dyDescent="0.3">
      <c r="G435"/>
      <c r="H435"/>
    </row>
    <row r="436" spans="7:8" ht="14.25" customHeight="1" x14ac:dyDescent="0.3">
      <c r="G436"/>
      <c r="H436"/>
    </row>
    <row r="437" spans="7:8" ht="14.25" customHeight="1" x14ac:dyDescent="0.3">
      <c r="G437"/>
      <c r="H437"/>
    </row>
    <row r="438" spans="7:8" ht="14.25" customHeight="1" x14ac:dyDescent="0.3">
      <c r="G438"/>
      <c r="H438"/>
    </row>
    <row r="439" spans="7:8" ht="14.25" customHeight="1" x14ac:dyDescent="0.3">
      <c r="G439"/>
      <c r="H439"/>
    </row>
    <row r="440" spans="7:8" ht="14.25" customHeight="1" x14ac:dyDescent="0.3">
      <c r="G440"/>
      <c r="H440"/>
    </row>
    <row r="441" spans="7:8" ht="14.25" customHeight="1" x14ac:dyDescent="0.3">
      <c r="G441"/>
      <c r="H441"/>
    </row>
    <row r="442" spans="7:8" ht="14.25" customHeight="1" x14ac:dyDescent="0.3">
      <c r="G442"/>
      <c r="H442"/>
    </row>
    <row r="443" spans="7:8" ht="14.25" customHeight="1" x14ac:dyDescent="0.3">
      <c r="G443"/>
      <c r="H443"/>
    </row>
    <row r="444" spans="7:8" ht="14.25" customHeight="1" x14ac:dyDescent="0.3">
      <c r="G444"/>
      <c r="H444"/>
    </row>
    <row r="445" spans="7:8" ht="14.25" customHeight="1" x14ac:dyDescent="0.3">
      <c r="G445"/>
      <c r="H445"/>
    </row>
    <row r="446" spans="7:8" ht="14.25" customHeight="1" x14ac:dyDescent="0.3">
      <c r="G446"/>
      <c r="H446"/>
    </row>
    <row r="447" spans="7:8" ht="14.25" customHeight="1" x14ac:dyDescent="0.3">
      <c r="G447"/>
      <c r="H447"/>
    </row>
    <row r="448" spans="7:8" ht="14.25" customHeight="1" x14ac:dyDescent="0.3">
      <c r="G448"/>
      <c r="H448"/>
    </row>
    <row r="449" spans="7:8" ht="14.25" customHeight="1" x14ac:dyDescent="0.3">
      <c r="G449"/>
      <c r="H449"/>
    </row>
    <row r="450" spans="7:8" ht="14.25" customHeight="1" x14ac:dyDescent="0.3">
      <c r="G450"/>
      <c r="H450"/>
    </row>
    <row r="451" spans="7:8" ht="14.25" customHeight="1" x14ac:dyDescent="0.3">
      <c r="G451"/>
      <c r="H451"/>
    </row>
    <row r="452" spans="7:8" ht="14.25" customHeight="1" x14ac:dyDescent="0.3">
      <c r="G452"/>
      <c r="H452"/>
    </row>
    <row r="453" spans="7:8" ht="14.25" customHeight="1" x14ac:dyDescent="0.3">
      <c r="G453"/>
      <c r="H453"/>
    </row>
    <row r="454" spans="7:8" ht="14.25" customHeight="1" x14ac:dyDescent="0.3">
      <c r="G454"/>
      <c r="H454"/>
    </row>
    <row r="455" spans="7:8" ht="14.25" customHeight="1" x14ac:dyDescent="0.3">
      <c r="G455"/>
      <c r="H455"/>
    </row>
    <row r="456" spans="7:8" ht="14.25" customHeight="1" x14ac:dyDescent="0.3">
      <c r="G456"/>
      <c r="H456"/>
    </row>
    <row r="457" spans="7:8" ht="14.25" customHeight="1" x14ac:dyDescent="0.3">
      <c r="G457"/>
      <c r="H457"/>
    </row>
    <row r="458" spans="7:8" ht="14.25" customHeight="1" x14ac:dyDescent="0.3">
      <c r="G458"/>
      <c r="H458"/>
    </row>
    <row r="459" spans="7:8" ht="14.25" customHeight="1" x14ac:dyDescent="0.3">
      <c r="G459"/>
      <c r="H459"/>
    </row>
    <row r="460" spans="7:8" ht="14.25" customHeight="1" x14ac:dyDescent="0.3">
      <c r="G460"/>
      <c r="H460"/>
    </row>
    <row r="461" spans="7:8" ht="14.25" customHeight="1" x14ac:dyDescent="0.3">
      <c r="G461"/>
      <c r="H461"/>
    </row>
    <row r="462" spans="7:8" ht="14.25" customHeight="1" x14ac:dyDescent="0.3">
      <c r="G462"/>
      <c r="H462"/>
    </row>
    <row r="463" spans="7:8" ht="14.25" customHeight="1" x14ac:dyDescent="0.3">
      <c r="G463"/>
      <c r="H463"/>
    </row>
    <row r="464" spans="7:8" ht="14.25" customHeight="1" x14ac:dyDescent="0.3">
      <c r="G464"/>
      <c r="H464"/>
    </row>
    <row r="465" spans="7:8" ht="14.25" customHeight="1" x14ac:dyDescent="0.3">
      <c r="G465"/>
      <c r="H465"/>
    </row>
    <row r="466" spans="7:8" ht="14.25" customHeight="1" x14ac:dyDescent="0.3">
      <c r="G466"/>
      <c r="H466"/>
    </row>
    <row r="467" spans="7:8" ht="14.25" customHeight="1" x14ac:dyDescent="0.3">
      <c r="G467"/>
      <c r="H467"/>
    </row>
    <row r="468" spans="7:8" ht="14.25" customHeight="1" x14ac:dyDescent="0.3">
      <c r="G468"/>
      <c r="H468"/>
    </row>
    <row r="469" spans="7:8" ht="14.25" customHeight="1" x14ac:dyDescent="0.3">
      <c r="G469"/>
      <c r="H469"/>
    </row>
    <row r="470" spans="7:8" ht="14.25" customHeight="1" x14ac:dyDescent="0.3">
      <c r="G470"/>
      <c r="H470"/>
    </row>
    <row r="471" spans="7:8" ht="14.25" customHeight="1" x14ac:dyDescent="0.3">
      <c r="G471"/>
      <c r="H471"/>
    </row>
    <row r="472" spans="7:8" ht="14.25" customHeight="1" x14ac:dyDescent="0.3">
      <c r="G472"/>
      <c r="H472"/>
    </row>
    <row r="473" spans="7:8" ht="14.25" customHeight="1" x14ac:dyDescent="0.3">
      <c r="G473"/>
      <c r="H473"/>
    </row>
    <row r="474" spans="7:8" ht="14.25" customHeight="1" x14ac:dyDescent="0.3">
      <c r="G474"/>
      <c r="H474"/>
    </row>
    <row r="475" spans="7:8" ht="14.25" customHeight="1" x14ac:dyDescent="0.3">
      <c r="G475"/>
      <c r="H475"/>
    </row>
    <row r="476" spans="7:8" ht="14.25" customHeight="1" x14ac:dyDescent="0.3">
      <c r="G476"/>
      <c r="H476"/>
    </row>
    <row r="477" spans="7:8" ht="14.25" customHeight="1" x14ac:dyDescent="0.3">
      <c r="G477"/>
      <c r="H477"/>
    </row>
    <row r="478" spans="7:8" ht="14.25" customHeight="1" x14ac:dyDescent="0.3">
      <c r="G478"/>
      <c r="H478"/>
    </row>
    <row r="479" spans="7:8" ht="14.25" customHeight="1" x14ac:dyDescent="0.3">
      <c r="G479"/>
      <c r="H479"/>
    </row>
    <row r="480" spans="7:8" ht="14.25" customHeight="1" x14ac:dyDescent="0.3">
      <c r="G480"/>
      <c r="H480"/>
    </row>
    <row r="481" spans="7:8" ht="14.25" customHeight="1" x14ac:dyDescent="0.3">
      <c r="G481"/>
      <c r="H481"/>
    </row>
    <row r="482" spans="7:8" ht="14.25" customHeight="1" x14ac:dyDescent="0.3">
      <c r="G482"/>
      <c r="H482"/>
    </row>
    <row r="483" spans="7:8" ht="14.25" customHeight="1" x14ac:dyDescent="0.3">
      <c r="G483"/>
      <c r="H483"/>
    </row>
    <row r="484" spans="7:8" ht="14.25" customHeight="1" x14ac:dyDescent="0.3">
      <c r="G484"/>
      <c r="H484"/>
    </row>
    <row r="485" spans="7:8" ht="14.25" customHeight="1" x14ac:dyDescent="0.3">
      <c r="G485"/>
      <c r="H485"/>
    </row>
    <row r="486" spans="7:8" ht="14.25" customHeight="1" x14ac:dyDescent="0.3">
      <c r="G486"/>
      <c r="H486"/>
    </row>
    <row r="487" spans="7:8" ht="14.25" customHeight="1" x14ac:dyDescent="0.3">
      <c r="G487"/>
      <c r="H487"/>
    </row>
    <row r="488" spans="7:8" ht="14.25" customHeight="1" x14ac:dyDescent="0.3">
      <c r="G488"/>
      <c r="H488"/>
    </row>
    <row r="489" spans="7:8" ht="14.25" customHeight="1" x14ac:dyDescent="0.3">
      <c r="G489"/>
      <c r="H489"/>
    </row>
    <row r="490" spans="7:8" ht="14.25" customHeight="1" x14ac:dyDescent="0.3">
      <c r="G490"/>
      <c r="H490"/>
    </row>
    <row r="491" spans="7:8" ht="14.25" customHeight="1" x14ac:dyDescent="0.3">
      <c r="G491"/>
      <c r="H491"/>
    </row>
    <row r="492" spans="7:8" ht="14.25" customHeight="1" x14ac:dyDescent="0.3">
      <c r="G492"/>
      <c r="H492"/>
    </row>
    <row r="493" spans="7:8" ht="14.25" customHeight="1" x14ac:dyDescent="0.3">
      <c r="G493"/>
      <c r="H493"/>
    </row>
    <row r="494" spans="7:8" ht="14.25" customHeight="1" x14ac:dyDescent="0.3">
      <c r="G494"/>
      <c r="H494"/>
    </row>
    <row r="495" spans="7:8" ht="14.25" customHeight="1" x14ac:dyDescent="0.3">
      <c r="G495"/>
      <c r="H495"/>
    </row>
    <row r="496" spans="7:8" ht="14.25" customHeight="1" x14ac:dyDescent="0.3">
      <c r="G496"/>
      <c r="H496"/>
    </row>
    <row r="497" spans="7:8" ht="14.25" customHeight="1" x14ac:dyDescent="0.3">
      <c r="G497"/>
      <c r="H497"/>
    </row>
    <row r="498" spans="7:8" ht="14.25" customHeight="1" x14ac:dyDescent="0.3">
      <c r="G498"/>
      <c r="H498"/>
    </row>
    <row r="499" spans="7:8" ht="14.25" customHeight="1" x14ac:dyDescent="0.3">
      <c r="G499"/>
      <c r="H499"/>
    </row>
    <row r="500" spans="7:8" ht="14.25" customHeight="1" x14ac:dyDescent="0.3">
      <c r="G500"/>
      <c r="H500"/>
    </row>
    <row r="501" spans="7:8" ht="14.25" customHeight="1" x14ac:dyDescent="0.3">
      <c r="G501"/>
      <c r="H501"/>
    </row>
    <row r="502" spans="7:8" ht="14.25" customHeight="1" x14ac:dyDescent="0.3">
      <c r="G502"/>
      <c r="H502"/>
    </row>
    <row r="503" spans="7:8" ht="14.25" customHeight="1" x14ac:dyDescent="0.3">
      <c r="G503"/>
      <c r="H503"/>
    </row>
    <row r="504" spans="7:8" ht="14.25" customHeight="1" x14ac:dyDescent="0.3">
      <c r="G504"/>
      <c r="H504"/>
    </row>
    <row r="505" spans="7:8" ht="14.25" customHeight="1" x14ac:dyDescent="0.3">
      <c r="G505"/>
      <c r="H505"/>
    </row>
    <row r="506" spans="7:8" ht="14.25" customHeight="1" x14ac:dyDescent="0.3">
      <c r="G506"/>
      <c r="H506"/>
    </row>
    <row r="507" spans="7:8" ht="14.25" customHeight="1" x14ac:dyDescent="0.3">
      <c r="G507"/>
      <c r="H507"/>
    </row>
    <row r="508" spans="7:8" ht="14.25" customHeight="1" x14ac:dyDescent="0.3">
      <c r="G508"/>
      <c r="H508"/>
    </row>
    <row r="509" spans="7:8" ht="14.25" customHeight="1" x14ac:dyDescent="0.3">
      <c r="G509"/>
      <c r="H509"/>
    </row>
    <row r="510" spans="7:8" ht="14.25" customHeight="1" x14ac:dyDescent="0.3">
      <c r="G510"/>
      <c r="H510"/>
    </row>
    <row r="511" spans="7:8" ht="14.25" customHeight="1" x14ac:dyDescent="0.3">
      <c r="G511"/>
      <c r="H511"/>
    </row>
    <row r="512" spans="7:8" ht="14.25" customHeight="1" x14ac:dyDescent="0.3">
      <c r="G512"/>
      <c r="H512"/>
    </row>
    <row r="513" spans="7:8" ht="14.25" customHeight="1" x14ac:dyDescent="0.3">
      <c r="G513"/>
      <c r="H513"/>
    </row>
    <row r="514" spans="7:8" ht="14.25" customHeight="1" x14ac:dyDescent="0.3">
      <c r="G514"/>
      <c r="H514"/>
    </row>
    <row r="515" spans="7:8" ht="14.25" customHeight="1" x14ac:dyDescent="0.3">
      <c r="G515"/>
      <c r="H515"/>
    </row>
    <row r="516" spans="7:8" ht="14.25" customHeight="1" x14ac:dyDescent="0.3">
      <c r="G516"/>
      <c r="H516"/>
    </row>
    <row r="517" spans="7:8" ht="14.25" customHeight="1" x14ac:dyDescent="0.3">
      <c r="G517"/>
      <c r="H517"/>
    </row>
    <row r="518" spans="7:8" ht="14.25" customHeight="1" x14ac:dyDescent="0.3">
      <c r="G518"/>
      <c r="H518"/>
    </row>
    <row r="519" spans="7:8" ht="14.25" customHeight="1" x14ac:dyDescent="0.3">
      <c r="G519"/>
      <c r="H519"/>
    </row>
    <row r="520" spans="7:8" ht="14.25" customHeight="1" x14ac:dyDescent="0.3">
      <c r="G520"/>
      <c r="H520"/>
    </row>
    <row r="521" spans="7:8" ht="14.25" customHeight="1" x14ac:dyDescent="0.3">
      <c r="G521"/>
      <c r="H521"/>
    </row>
    <row r="522" spans="7:8" ht="14.25" customHeight="1" x14ac:dyDescent="0.3">
      <c r="G522"/>
      <c r="H522"/>
    </row>
    <row r="523" spans="7:8" ht="14.25" customHeight="1" x14ac:dyDescent="0.3">
      <c r="G523"/>
      <c r="H523"/>
    </row>
    <row r="524" spans="7:8" ht="14.25" customHeight="1" x14ac:dyDescent="0.3">
      <c r="G524"/>
      <c r="H524"/>
    </row>
    <row r="525" spans="7:8" ht="14.25" customHeight="1" x14ac:dyDescent="0.3">
      <c r="G525"/>
      <c r="H525"/>
    </row>
    <row r="526" spans="7:8" ht="14.25" customHeight="1" x14ac:dyDescent="0.3">
      <c r="G526"/>
      <c r="H526"/>
    </row>
    <row r="527" spans="7:8" ht="14.25" customHeight="1" x14ac:dyDescent="0.3">
      <c r="G527"/>
      <c r="H527"/>
    </row>
    <row r="528" spans="7:8" ht="14.25" customHeight="1" x14ac:dyDescent="0.3">
      <c r="G528"/>
      <c r="H528"/>
    </row>
    <row r="529" spans="7:8" ht="14.25" customHeight="1" x14ac:dyDescent="0.3">
      <c r="G529"/>
      <c r="H529"/>
    </row>
    <row r="530" spans="7:8" ht="14.25" customHeight="1" x14ac:dyDescent="0.3">
      <c r="G530"/>
      <c r="H530"/>
    </row>
    <row r="531" spans="7:8" ht="14.25" customHeight="1" x14ac:dyDescent="0.3">
      <c r="G531"/>
      <c r="H531"/>
    </row>
    <row r="532" spans="7:8" ht="14.25" customHeight="1" x14ac:dyDescent="0.3">
      <c r="G532"/>
      <c r="H532"/>
    </row>
    <row r="533" spans="7:8" ht="14.25" customHeight="1" x14ac:dyDescent="0.3">
      <c r="G533"/>
      <c r="H533"/>
    </row>
    <row r="534" spans="7:8" ht="14.25" customHeight="1" x14ac:dyDescent="0.3">
      <c r="G534"/>
      <c r="H534"/>
    </row>
    <row r="535" spans="7:8" ht="14.25" customHeight="1" x14ac:dyDescent="0.3">
      <c r="G535"/>
      <c r="H535"/>
    </row>
    <row r="536" spans="7:8" ht="14.25" customHeight="1" x14ac:dyDescent="0.3">
      <c r="G536"/>
      <c r="H536"/>
    </row>
    <row r="537" spans="7:8" ht="14.25" customHeight="1" x14ac:dyDescent="0.3">
      <c r="G537"/>
      <c r="H537"/>
    </row>
    <row r="538" spans="7:8" ht="14.25" customHeight="1" x14ac:dyDescent="0.3">
      <c r="G538"/>
      <c r="H538"/>
    </row>
    <row r="539" spans="7:8" ht="14.25" customHeight="1" x14ac:dyDescent="0.3">
      <c r="G539"/>
      <c r="H539"/>
    </row>
    <row r="540" spans="7:8" ht="14.25" customHeight="1" x14ac:dyDescent="0.3">
      <c r="G540"/>
      <c r="H540"/>
    </row>
    <row r="541" spans="7:8" ht="14.25" customHeight="1" x14ac:dyDescent="0.3">
      <c r="G541"/>
      <c r="H541"/>
    </row>
    <row r="542" spans="7:8" ht="14.25" customHeight="1" x14ac:dyDescent="0.3">
      <c r="G542"/>
      <c r="H542"/>
    </row>
    <row r="543" spans="7:8" ht="14.25" customHeight="1" x14ac:dyDescent="0.3">
      <c r="G543"/>
      <c r="H543"/>
    </row>
    <row r="544" spans="7:8" ht="14.25" customHeight="1" x14ac:dyDescent="0.3">
      <c r="G544"/>
      <c r="H544"/>
    </row>
    <row r="545" spans="7:8" ht="14.25" customHeight="1" x14ac:dyDescent="0.3">
      <c r="G545"/>
      <c r="H545"/>
    </row>
    <row r="546" spans="7:8" ht="14.25" customHeight="1" x14ac:dyDescent="0.3">
      <c r="G546"/>
      <c r="H546"/>
    </row>
    <row r="547" spans="7:8" ht="14.25" customHeight="1" x14ac:dyDescent="0.3">
      <c r="G547"/>
      <c r="H547"/>
    </row>
    <row r="548" spans="7:8" ht="14.25" customHeight="1" x14ac:dyDescent="0.3">
      <c r="G548"/>
      <c r="H548"/>
    </row>
    <row r="549" spans="7:8" ht="14.25" customHeight="1" x14ac:dyDescent="0.3">
      <c r="G549"/>
      <c r="H549"/>
    </row>
    <row r="550" spans="7:8" ht="14.25" customHeight="1" x14ac:dyDescent="0.3">
      <c r="G550"/>
      <c r="H550"/>
    </row>
    <row r="551" spans="7:8" ht="14.25" customHeight="1" x14ac:dyDescent="0.3">
      <c r="G551"/>
      <c r="H551"/>
    </row>
    <row r="552" spans="7:8" ht="14.25" customHeight="1" x14ac:dyDescent="0.3">
      <c r="G552"/>
      <c r="H552"/>
    </row>
    <row r="553" spans="7:8" ht="14.25" customHeight="1" x14ac:dyDescent="0.3">
      <c r="G553"/>
      <c r="H553"/>
    </row>
    <row r="554" spans="7:8" ht="14.25" customHeight="1" x14ac:dyDescent="0.3">
      <c r="G554"/>
      <c r="H554"/>
    </row>
    <row r="555" spans="7:8" ht="14.25" customHeight="1" x14ac:dyDescent="0.3">
      <c r="G555"/>
      <c r="H555"/>
    </row>
    <row r="556" spans="7:8" ht="14.25" customHeight="1" x14ac:dyDescent="0.3">
      <c r="G556"/>
      <c r="H556"/>
    </row>
    <row r="557" spans="7:8" ht="14.25" customHeight="1" x14ac:dyDescent="0.3">
      <c r="G557"/>
      <c r="H557"/>
    </row>
    <row r="558" spans="7:8" ht="14.25" customHeight="1" x14ac:dyDescent="0.3">
      <c r="G558"/>
      <c r="H558"/>
    </row>
    <row r="559" spans="7:8" ht="14.25" customHeight="1" x14ac:dyDescent="0.3">
      <c r="G559"/>
      <c r="H559"/>
    </row>
    <row r="560" spans="7:8" ht="14.25" customHeight="1" x14ac:dyDescent="0.3">
      <c r="G560"/>
      <c r="H560"/>
    </row>
    <row r="561" spans="7:8" ht="14.25" customHeight="1" x14ac:dyDescent="0.3">
      <c r="G561"/>
      <c r="H561"/>
    </row>
    <row r="562" spans="7:8" ht="14.25" customHeight="1" x14ac:dyDescent="0.3">
      <c r="G562"/>
      <c r="H562"/>
    </row>
    <row r="563" spans="7:8" ht="14.25" customHeight="1" x14ac:dyDescent="0.3">
      <c r="G563"/>
      <c r="H563"/>
    </row>
    <row r="564" spans="7:8" ht="14.25" customHeight="1" x14ac:dyDescent="0.3">
      <c r="G564"/>
      <c r="H564"/>
    </row>
    <row r="565" spans="7:8" ht="14.25" customHeight="1" x14ac:dyDescent="0.3">
      <c r="G565"/>
      <c r="H565"/>
    </row>
    <row r="566" spans="7:8" ht="14.25" customHeight="1" x14ac:dyDescent="0.3">
      <c r="G566"/>
      <c r="H566"/>
    </row>
    <row r="567" spans="7:8" ht="14.25" customHeight="1" x14ac:dyDescent="0.3">
      <c r="G567"/>
      <c r="H567"/>
    </row>
    <row r="568" spans="7:8" ht="14.25" customHeight="1" x14ac:dyDescent="0.3">
      <c r="G568"/>
      <c r="H568"/>
    </row>
    <row r="569" spans="7:8" ht="14.25" customHeight="1" x14ac:dyDescent="0.3">
      <c r="G569"/>
      <c r="H569"/>
    </row>
    <row r="570" spans="7:8" ht="14.25" customHeight="1" x14ac:dyDescent="0.3">
      <c r="G570"/>
      <c r="H570"/>
    </row>
    <row r="571" spans="7:8" ht="14.25" customHeight="1" x14ac:dyDescent="0.3">
      <c r="G571"/>
      <c r="H571"/>
    </row>
    <row r="572" spans="7:8" ht="14.25" customHeight="1" x14ac:dyDescent="0.3">
      <c r="G572"/>
      <c r="H572"/>
    </row>
    <row r="573" spans="7:8" ht="14.25" customHeight="1" x14ac:dyDescent="0.3">
      <c r="G573"/>
      <c r="H573"/>
    </row>
    <row r="574" spans="7:8" ht="14.25" customHeight="1" x14ac:dyDescent="0.3">
      <c r="G574"/>
      <c r="H574"/>
    </row>
    <row r="575" spans="7:8" ht="14.25" customHeight="1" x14ac:dyDescent="0.3">
      <c r="G575"/>
      <c r="H575"/>
    </row>
    <row r="576" spans="7:8" ht="14.25" customHeight="1" x14ac:dyDescent="0.3">
      <c r="G576"/>
      <c r="H576"/>
    </row>
    <row r="577" spans="7:8" ht="14.25" customHeight="1" x14ac:dyDescent="0.3">
      <c r="G577"/>
      <c r="H577"/>
    </row>
    <row r="578" spans="7:8" ht="14.25" customHeight="1" x14ac:dyDescent="0.3">
      <c r="G578"/>
      <c r="H578"/>
    </row>
    <row r="579" spans="7:8" ht="14.25" customHeight="1" x14ac:dyDescent="0.3">
      <c r="G579"/>
      <c r="H579"/>
    </row>
    <row r="580" spans="7:8" ht="14.25" customHeight="1" x14ac:dyDescent="0.3">
      <c r="G580"/>
      <c r="H580"/>
    </row>
    <row r="581" spans="7:8" ht="14.25" customHeight="1" x14ac:dyDescent="0.3">
      <c r="G581"/>
      <c r="H581"/>
    </row>
    <row r="582" spans="7:8" ht="14.25" customHeight="1" x14ac:dyDescent="0.3">
      <c r="G582"/>
      <c r="H582"/>
    </row>
    <row r="583" spans="7:8" ht="14.25" customHeight="1" x14ac:dyDescent="0.3">
      <c r="G583"/>
      <c r="H583"/>
    </row>
    <row r="584" spans="7:8" ht="14.25" customHeight="1" x14ac:dyDescent="0.3">
      <c r="G584"/>
      <c r="H584"/>
    </row>
    <row r="585" spans="7:8" ht="14.25" customHeight="1" x14ac:dyDescent="0.3">
      <c r="G585"/>
      <c r="H585"/>
    </row>
    <row r="586" spans="7:8" ht="14.25" customHeight="1" x14ac:dyDescent="0.3">
      <c r="G586"/>
      <c r="H586"/>
    </row>
    <row r="587" spans="7:8" ht="14.25" customHeight="1" x14ac:dyDescent="0.3">
      <c r="G587"/>
      <c r="H587"/>
    </row>
    <row r="588" spans="7:8" ht="14.25" customHeight="1" x14ac:dyDescent="0.3">
      <c r="G588"/>
      <c r="H588"/>
    </row>
    <row r="589" spans="7:8" ht="14.25" customHeight="1" x14ac:dyDescent="0.3">
      <c r="G589"/>
      <c r="H589"/>
    </row>
    <row r="590" spans="7:8" ht="14.25" customHeight="1" x14ac:dyDescent="0.3">
      <c r="G590"/>
      <c r="H590"/>
    </row>
    <row r="591" spans="7:8" ht="14.25" customHeight="1" x14ac:dyDescent="0.3">
      <c r="G591"/>
      <c r="H591"/>
    </row>
    <row r="592" spans="7:8" ht="14.25" customHeight="1" x14ac:dyDescent="0.3">
      <c r="G592"/>
      <c r="H592"/>
    </row>
    <row r="593" spans="7:8" ht="14.25" customHeight="1" x14ac:dyDescent="0.3">
      <c r="G593"/>
      <c r="H593"/>
    </row>
    <row r="594" spans="7:8" ht="14.25" customHeight="1" x14ac:dyDescent="0.3">
      <c r="G594"/>
      <c r="H594"/>
    </row>
    <row r="595" spans="7:8" ht="14.25" customHeight="1" x14ac:dyDescent="0.3">
      <c r="G595"/>
      <c r="H595"/>
    </row>
    <row r="596" spans="7:8" ht="14.25" customHeight="1" x14ac:dyDescent="0.3">
      <c r="G596"/>
      <c r="H596"/>
    </row>
    <row r="597" spans="7:8" ht="14.25" customHeight="1" x14ac:dyDescent="0.3">
      <c r="G597"/>
      <c r="H597"/>
    </row>
    <row r="598" spans="7:8" ht="14.25" customHeight="1" x14ac:dyDescent="0.3">
      <c r="G598"/>
      <c r="H598"/>
    </row>
    <row r="599" spans="7:8" ht="14.25" customHeight="1" x14ac:dyDescent="0.3">
      <c r="G599"/>
      <c r="H599"/>
    </row>
    <row r="600" spans="7:8" ht="14.25" customHeight="1" x14ac:dyDescent="0.3">
      <c r="G600"/>
      <c r="H600"/>
    </row>
    <row r="601" spans="7:8" ht="14.25" customHeight="1" x14ac:dyDescent="0.3">
      <c r="G601"/>
      <c r="H601"/>
    </row>
    <row r="602" spans="7:8" ht="14.25" customHeight="1" x14ac:dyDescent="0.3">
      <c r="G602"/>
      <c r="H602"/>
    </row>
    <row r="603" spans="7:8" ht="14.25" customHeight="1" x14ac:dyDescent="0.3">
      <c r="G603"/>
      <c r="H603"/>
    </row>
    <row r="604" spans="7:8" ht="14.25" customHeight="1" x14ac:dyDescent="0.3">
      <c r="G604"/>
      <c r="H604"/>
    </row>
    <row r="605" spans="7:8" ht="14.25" customHeight="1" x14ac:dyDescent="0.3">
      <c r="G605"/>
      <c r="H605"/>
    </row>
    <row r="606" spans="7:8" ht="14.25" customHeight="1" x14ac:dyDescent="0.3">
      <c r="G606"/>
      <c r="H606"/>
    </row>
    <row r="607" spans="7:8" ht="14.25" customHeight="1" x14ac:dyDescent="0.3">
      <c r="G607"/>
      <c r="H607"/>
    </row>
    <row r="608" spans="7:8" ht="14.25" customHeight="1" x14ac:dyDescent="0.3">
      <c r="G608"/>
      <c r="H608"/>
    </row>
    <row r="609" spans="7:8" ht="14.25" customHeight="1" x14ac:dyDescent="0.3">
      <c r="G609"/>
      <c r="H609"/>
    </row>
    <row r="610" spans="7:8" ht="14.25" customHeight="1" x14ac:dyDescent="0.3">
      <c r="G610"/>
      <c r="H610"/>
    </row>
    <row r="611" spans="7:8" ht="14.25" customHeight="1" x14ac:dyDescent="0.3">
      <c r="G611"/>
      <c r="H611"/>
    </row>
    <row r="612" spans="7:8" ht="14.25" customHeight="1" x14ac:dyDescent="0.3">
      <c r="G612"/>
      <c r="H612"/>
    </row>
    <row r="613" spans="7:8" ht="14.25" customHeight="1" x14ac:dyDescent="0.3">
      <c r="G613"/>
      <c r="H613"/>
    </row>
    <row r="614" spans="7:8" ht="14.25" customHeight="1" x14ac:dyDescent="0.3">
      <c r="G614"/>
      <c r="H614"/>
    </row>
    <row r="615" spans="7:8" ht="14.25" customHeight="1" x14ac:dyDescent="0.3">
      <c r="G615"/>
      <c r="H615"/>
    </row>
    <row r="616" spans="7:8" ht="14.25" customHeight="1" x14ac:dyDescent="0.3">
      <c r="G616"/>
      <c r="H616"/>
    </row>
    <row r="617" spans="7:8" ht="14.25" customHeight="1" x14ac:dyDescent="0.3">
      <c r="G617"/>
      <c r="H617"/>
    </row>
    <row r="618" spans="7:8" ht="14.25" customHeight="1" x14ac:dyDescent="0.3">
      <c r="G618"/>
      <c r="H618"/>
    </row>
    <row r="619" spans="7:8" ht="14.25" customHeight="1" x14ac:dyDescent="0.3">
      <c r="G619"/>
      <c r="H619"/>
    </row>
    <row r="620" spans="7:8" ht="14.25" customHeight="1" x14ac:dyDescent="0.3">
      <c r="G620"/>
      <c r="H620"/>
    </row>
    <row r="621" spans="7:8" ht="14.25" customHeight="1" x14ac:dyDescent="0.3">
      <c r="G621"/>
      <c r="H621"/>
    </row>
    <row r="622" spans="7:8" ht="14.25" customHeight="1" x14ac:dyDescent="0.3">
      <c r="G622"/>
      <c r="H622"/>
    </row>
    <row r="623" spans="7:8" ht="14.25" customHeight="1" x14ac:dyDescent="0.3">
      <c r="G623"/>
      <c r="H623"/>
    </row>
    <row r="624" spans="7:8" ht="14.25" customHeight="1" x14ac:dyDescent="0.3">
      <c r="G624"/>
      <c r="H624"/>
    </row>
    <row r="625" spans="7:8" ht="14.25" customHeight="1" x14ac:dyDescent="0.3">
      <c r="G625"/>
      <c r="H625"/>
    </row>
    <row r="626" spans="7:8" ht="14.25" customHeight="1" x14ac:dyDescent="0.3">
      <c r="G626"/>
      <c r="H626"/>
    </row>
    <row r="627" spans="7:8" ht="14.25" customHeight="1" x14ac:dyDescent="0.3">
      <c r="G627"/>
      <c r="H627"/>
    </row>
    <row r="628" spans="7:8" ht="14.25" customHeight="1" x14ac:dyDescent="0.3">
      <c r="G628"/>
      <c r="H628"/>
    </row>
    <row r="629" spans="7:8" ht="14.25" customHeight="1" x14ac:dyDescent="0.3">
      <c r="G629"/>
      <c r="H629"/>
    </row>
    <row r="630" spans="7:8" ht="14.25" customHeight="1" x14ac:dyDescent="0.3">
      <c r="G630"/>
      <c r="H630"/>
    </row>
    <row r="631" spans="7:8" ht="14.25" customHeight="1" x14ac:dyDescent="0.3">
      <c r="G631"/>
      <c r="H631"/>
    </row>
    <row r="632" spans="7:8" ht="14.25" customHeight="1" x14ac:dyDescent="0.3">
      <c r="G632"/>
      <c r="H632"/>
    </row>
    <row r="633" spans="7:8" ht="14.25" customHeight="1" x14ac:dyDescent="0.3">
      <c r="G633"/>
      <c r="H633"/>
    </row>
    <row r="634" spans="7:8" ht="14.25" customHeight="1" x14ac:dyDescent="0.3">
      <c r="G634"/>
      <c r="H634"/>
    </row>
    <row r="635" spans="7:8" ht="14.25" customHeight="1" x14ac:dyDescent="0.3">
      <c r="G635"/>
      <c r="H635"/>
    </row>
    <row r="636" spans="7:8" ht="14.25" customHeight="1" x14ac:dyDescent="0.3">
      <c r="G636"/>
      <c r="H636"/>
    </row>
    <row r="637" spans="7:8" ht="14.25" customHeight="1" x14ac:dyDescent="0.3">
      <c r="G637"/>
      <c r="H637"/>
    </row>
    <row r="638" spans="7:8" ht="14.25" customHeight="1" x14ac:dyDescent="0.3">
      <c r="G638"/>
      <c r="H638"/>
    </row>
    <row r="639" spans="7:8" ht="14.25" customHeight="1" x14ac:dyDescent="0.3">
      <c r="G639"/>
      <c r="H639"/>
    </row>
    <row r="640" spans="7:8" ht="14.25" customHeight="1" x14ac:dyDescent="0.3">
      <c r="G640"/>
      <c r="H640"/>
    </row>
    <row r="641" spans="7:8" ht="14.25" customHeight="1" x14ac:dyDescent="0.3">
      <c r="G641"/>
      <c r="H641"/>
    </row>
    <row r="642" spans="7:8" ht="14.25" customHeight="1" x14ac:dyDescent="0.3">
      <c r="G642"/>
      <c r="H642"/>
    </row>
    <row r="643" spans="7:8" ht="14.25" customHeight="1" x14ac:dyDescent="0.3">
      <c r="G643"/>
      <c r="H643"/>
    </row>
    <row r="644" spans="7:8" ht="14.25" customHeight="1" x14ac:dyDescent="0.3">
      <c r="G644"/>
      <c r="H644"/>
    </row>
    <row r="645" spans="7:8" ht="14.25" customHeight="1" x14ac:dyDescent="0.3">
      <c r="G645"/>
      <c r="H645"/>
    </row>
    <row r="646" spans="7:8" ht="14.25" customHeight="1" x14ac:dyDescent="0.3">
      <c r="G646"/>
      <c r="H646"/>
    </row>
    <row r="647" spans="7:8" ht="14.25" customHeight="1" x14ac:dyDescent="0.3">
      <c r="G647"/>
      <c r="H647"/>
    </row>
    <row r="648" spans="7:8" ht="14.25" customHeight="1" x14ac:dyDescent="0.3">
      <c r="G648"/>
      <c r="H648"/>
    </row>
    <row r="649" spans="7:8" ht="14.25" customHeight="1" x14ac:dyDescent="0.3">
      <c r="G649"/>
      <c r="H649"/>
    </row>
    <row r="650" spans="7:8" ht="14.25" customHeight="1" x14ac:dyDescent="0.3">
      <c r="G650"/>
      <c r="H650"/>
    </row>
    <row r="651" spans="7:8" ht="14.25" customHeight="1" x14ac:dyDescent="0.3">
      <c r="G651"/>
      <c r="H651"/>
    </row>
    <row r="652" spans="7:8" ht="14.25" customHeight="1" x14ac:dyDescent="0.3">
      <c r="G652"/>
      <c r="H652"/>
    </row>
    <row r="653" spans="7:8" ht="14.25" customHeight="1" x14ac:dyDescent="0.3">
      <c r="G653"/>
      <c r="H653"/>
    </row>
    <row r="654" spans="7:8" ht="14.25" customHeight="1" x14ac:dyDescent="0.3">
      <c r="G654"/>
      <c r="H654"/>
    </row>
    <row r="655" spans="7:8" ht="14.25" customHeight="1" x14ac:dyDescent="0.3">
      <c r="G655"/>
      <c r="H655"/>
    </row>
    <row r="656" spans="7:8" ht="14.25" customHeight="1" x14ac:dyDescent="0.3">
      <c r="G656"/>
      <c r="H656"/>
    </row>
    <row r="657" spans="7:8" ht="14.25" customHeight="1" x14ac:dyDescent="0.3">
      <c r="G657"/>
      <c r="H657"/>
    </row>
    <row r="658" spans="7:8" ht="14.25" customHeight="1" x14ac:dyDescent="0.3">
      <c r="G658"/>
      <c r="H658"/>
    </row>
    <row r="659" spans="7:8" ht="14.25" customHeight="1" x14ac:dyDescent="0.3">
      <c r="G659"/>
      <c r="H659"/>
    </row>
    <row r="660" spans="7:8" ht="14.25" customHeight="1" x14ac:dyDescent="0.3">
      <c r="G660"/>
      <c r="H660"/>
    </row>
    <row r="661" spans="7:8" ht="14.25" customHeight="1" x14ac:dyDescent="0.3">
      <c r="G661"/>
      <c r="H661"/>
    </row>
    <row r="662" spans="7:8" ht="14.25" customHeight="1" x14ac:dyDescent="0.3">
      <c r="G662"/>
      <c r="H662"/>
    </row>
    <row r="663" spans="7:8" ht="14.25" customHeight="1" x14ac:dyDescent="0.3">
      <c r="G663"/>
      <c r="H663"/>
    </row>
    <row r="664" spans="7:8" ht="14.25" customHeight="1" x14ac:dyDescent="0.3">
      <c r="G664"/>
      <c r="H664"/>
    </row>
    <row r="665" spans="7:8" ht="14.25" customHeight="1" x14ac:dyDescent="0.3">
      <c r="G665"/>
      <c r="H665"/>
    </row>
    <row r="666" spans="7:8" ht="14.25" customHeight="1" x14ac:dyDescent="0.3">
      <c r="G666"/>
      <c r="H666"/>
    </row>
    <row r="667" spans="7:8" ht="14.25" customHeight="1" x14ac:dyDescent="0.3">
      <c r="G667"/>
      <c r="H667"/>
    </row>
    <row r="668" spans="7:8" ht="14.25" customHeight="1" x14ac:dyDescent="0.3">
      <c r="G668"/>
      <c r="H668"/>
    </row>
    <row r="669" spans="7:8" ht="14.25" customHeight="1" x14ac:dyDescent="0.3">
      <c r="G669"/>
      <c r="H669"/>
    </row>
    <row r="670" spans="7:8" ht="14.25" customHeight="1" x14ac:dyDescent="0.3">
      <c r="G670"/>
      <c r="H670"/>
    </row>
    <row r="671" spans="7:8" ht="14.25" customHeight="1" x14ac:dyDescent="0.3">
      <c r="G671"/>
      <c r="H671"/>
    </row>
    <row r="672" spans="7:8" ht="14.25" customHeight="1" x14ac:dyDescent="0.3">
      <c r="G672"/>
      <c r="H672"/>
    </row>
    <row r="673" spans="7:8" ht="14.25" customHeight="1" x14ac:dyDescent="0.3">
      <c r="G673"/>
      <c r="H673"/>
    </row>
    <row r="674" spans="7:8" ht="14.25" customHeight="1" x14ac:dyDescent="0.3">
      <c r="G674"/>
      <c r="H674"/>
    </row>
    <row r="675" spans="7:8" ht="14.25" customHeight="1" x14ac:dyDescent="0.3">
      <c r="G675"/>
      <c r="H675"/>
    </row>
    <row r="676" spans="7:8" ht="14.25" customHeight="1" x14ac:dyDescent="0.3">
      <c r="G676"/>
      <c r="H676"/>
    </row>
    <row r="677" spans="7:8" ht="14.25" customHeight="1" x14ac:dyDescent="0.3">
      <c r="G677"/>
      <c r="H677"/>
    </row>
    <row r="678" spans="7:8" ht="14.25" customHeight="1" x14ac:dyDescent="0.3">
      <c r="G678"/>
      <c r="H678"/>
    </row>
    <row r="679" spans="7:8" ht="14.25" customHeight="1" x14ac:dyDescent="0.3">
      <c r="G679"/>
      <c r="H679"/>
    </row>
    <row r="680" spans="7:8" ht="14.25" customHeight="1" x14ac:dyDescent="0.3">
      <c r="G680"/>
      <c r="H680"/>
    </row>
    <row r="681" spans="7:8" ht="14.25" customHeight="1" x14ac:dyDescent="0.3">
      <c r="G681"/>
      <c r="H681"/>
    </row>
    <row r="682" spans="7:8" ht="14.25" customHeight="1" x14ac:dyDescent="0.3">
      <c r="G682"/>
      <c r="H682"/>
    </row>
    <row r="683" spans="7:8" ht="14.25" customHeight="1" x14ac:dyDescent="0.3">
      <c r="G683"/>
      <c r="H683"/>
    </row>
    <row r="684" spans="7:8" ht="14.25" customHeight="1" x14ac:dyDescent="0.3">
      <c r="G684"/>
      <c r="H684"/>
    </row>
    <row r="685" spans="7:8" ht="14.25" customHeight="1" x14ac:dyDescent="0.3">
      <c r="G685"/>
      <c r="H685"/>
    </row>
    <row r="686" spans="7:8" ht="14.25" customHeight="1" x14ac:dyDescent="0.3">
      <c r="G686"/>
      <c r="H686"/>
    </row>
    <row r="687" spans="7:8" ht="14.25" customHeight="1" x14ac:dyDescent="0.3">
      <c r="G687"/>
      <c r="H687"/>
    </row>
    <row r="688" spans="7:8" ht="14.25" customHeight="1" x14ac:dyDescent="0.3">
      <c r="G688"/>
      <c r="H688"/>
    </row>
    <row r="689" spans="7:8" ht="14.25" customHeight="1" x14ac:dyDescent="0.3">
      <c r="G689"/>
      <c r="H689"/>
    </row>
    <row r="690" spans="7:8" ht="14.25" customHeight="1" x14ac:dyDescent="0.3">
      <c r="G690"/>
      <c r="H690"/>
    </row>
    <row r="691" spans="7:8" ht="14.25" customHeight="1" x14ac:dyDescent="0.3">
      <c r="G691"/>
      <c r="H691"/>
    </row>
    <row r="692" spans="7:8" ht="14.25" customHeight="1" x14ac:dyDescent="0.3">
      <c r="G692"/>
      <c r="H692"/>
    </row>
    <row r="693" spans="7:8" ht="14.25" customHeight="1" x14ac:dyDescent="0.3">
      <c r="G693"/>
      <c r="H693"/>
    </row>
    <row r="694" spans="7:8" ht="14.25" customHeight="1" x14ac:dyDescent="0.3">
      <c r="G694"/>
      <c r="H694"/>
    </row>
    <row r="695" spans="7:8" ht="14.25" customHeight="1" x14ac:dyDescent="0.3">
      <c r="G695"/>
      <c r="H695"/>
    </row>
    <row r="696" spans="7:8" ht="14.25" customHeight="1" x14ac:dyDescent="0.3">
      <c r="G696"/>
      <c r="H696"/>
    </row>
    <row r="697" spans="7:8" ht="14.25" customHeight="1" x14ac:dyDescent="0.3">
      <c r="G697"/>
      <c r="H697"/>
    </row>
    <row r="698" spans="7:8" ht="14.25" customHeight="1" x14ac:dyDescent="0.3">
      <c r="G698"/>
      <c r="H698"/>
    </row>
    <row r="699" spans="7:8" ht="14.25" customHeight="1" x14ac:dyDescent="0.3">
      <c r="G699"/>
      <c r="H699"/>
    </row>
    <row r="700" spans="7:8" ht="14.25" customHeight="1" x14ac:dyDescent="0.3">
      <c r="G700"/>
      <c r="H700"/>
    </row>
    <row r="701" spans="7:8" ht="14.25" customHeight="1" x14ac:dyDescent="0.3">
      <c r="G701"/>
      <c r="H701"/>
    </row>
    <row r="702" spans="7:8" ht="14.25" customHeight="1" x14ac:dyDescent="0.3">
      <c r="G702"/>
      <c r="H702"/>
    </row>
    <row r="703" spans="7:8" ht="14.25" customHeight="1" x14ac:dyDescent="0.3">
      <c r="G703"/>
      <c r="H703"/>
    </row>
    <row r="704" spans="7:8" ht="14.25" customHeight="1" x14ac:dyDescent="0.3">
      <c r="G704"/>
      <c r="H704"/>
    </row>
    <row r="705" spans="7:8" ht="14.25" customHeight="1" x14ac:dyDescent="0.3">
      <c r="G705"/>
      <c r="H705"/>
    </row>
    <row r="706" spans="7:8" ht="14.25" customHeight="1" x14ac:dyDescent="0.3">
      <c r="G706"/>
      <c r="H706"/>
    </row>
    <row r="707" spans="7:8" ht="14.25" customHeight="1" x14ac:dyDescent="0.3">
      <c r="G707"/>
      <c r="H707"/>
    </row>
    <row r="708" spans="7:8" ht="14.25" customHeight="1" x14ac:dyDescent="0.3">
      <c r="G708"/>
      <c r="H708"/>
    </row>
    <row r="709" spans="7:8" ht="14.25" customHeight="1" x14ac:dyDescent="0.3">
      <c r="G709"/>
      <c r="H709"/>
    </row>
    <row r="710" spans="7:8" ht="14.25" customHeight="1" x14ac:dyDescent="0.3">
      <c r="G710"/>
      <c r="H710"/>
    </row>
    <row r="711" spans="7:8" ht="14.25" customHeight="1" x14ac:dyDescent="0.3">
      <c r="G711"/>
      <c r="H711"/>
    </row>
    <row r="712" spans="7:8" ht="14.25" customHeight="1" x14ac:dyDescent="0.3">
      <c r="G712"/>
      <c r="H712"/>
    </row>
    <row r="713" spans="7:8" ht="14.25" customHeight="1" x14ac:dyDescent="0.3">
      <c r="G713"/>
      <c r="H713"/>
    </row>
    <row r="714" spans="7:8" ht="14.25" customHeight="1" x14ac:dyDescent="0.3">
      <c r="G714"/>
      <c r="H714"/>
    </row>
    <row r="715" spans="7:8" ht="14.25" customHeight="1" x14ac:dyDescent="0.3">
      <c r="G715"/>
      <c r="H715"/>
    </row>
    <row r="716" spans="7:8" ht="14.25" customHeight="1" x14ac:dyDescent="0.3">
      <c r="G716"/>
      <c r="H716"/>
    </row>
    <row r="717" spans="7:8" ht="14.25" customHeight="1" x14ac:dyDescent="0.3">
      <c r="G717"/>
      <c r="H717"/>
    </row>
    <row r="718" spans="7:8" ht="14.25" customHeight="1" x14ac:dyDescent="0.3">
      <c r="G718"/>
      <c r="H718"/>
    </row>
    <row r="719" spans="7:8" ht="14.25" customHeight="1" x14ac:dyDescent="0.3">
      <c r="G719"/>
      <c r="H719"/>
    </row>
    <row r="720" spans="7:8" ht="14.25" customHeight="1" x14ac:dyDescent="0.3">
      <c r="G720"/>
      <c r="H720"/>
    </row>
    <row r="721" spans="7:8" ht="14.25" customHeight="1" x14ac:dyDescent="0.3">
      <c r="G721"/>
      <c r="H721"/>
    </row>
    <row r="722" spans="7:8" ht="14.25" customHeight="1" x14ac:dyDescent="0.3">
      <c r="G722"/>
      <c r="H722"/>
    </row>
    <row r="723" spans="7:8" ht="14.25" customHeight="1" x14ac:dyDescent="0.3">
      <c r="G723"/>
      <c r="H723"/>
    </row>
    <row r="724" spans="7:8" ht="14.25" customHeight="1" x14ac:dyDescent="0.3">
      <c r="G724"/>
      <c r="H724"/>
    </row>
    <row r="725" spans="7:8" ht="14.25" customHeight="1" x14ac:dyDescent="0.3">
      <c r="G725"/>
      <c r="H725"/>
    </row>
    <row r="726" spans="7:8" ht="14.25" customHeight="1" x14ac:dyDescent="0.3">
      <c r="G726"/>
      <c r="H726"/>
    </row>
    <row r="727" spans="7:8" ht="14.25" customHeight="1" x14ac:dyDescent="0.3">
      <c r="G727"/>
      <c r="H727"/>
    </row>
    <row r="728" spans="7:8" ht="14.25" customHeight="1" x14ac:dyDescent="0.3">
      <c r="G728"/>
      <c r="H728"/>
    </row>
    <row r="729" spans="7:8" ht="14.25" customHeight="1" x14ac:dyDescent="0.3">
      <c r="G729"/>
      <c r="H729"/>
    </row>
    <row r="730" spans="7:8" ht="14.25" customHeight="1" x14ac:dyDescent="0.3">
      <c r="G730"/>
      <c r="H730"/>
    </row>
    <row r="731" spans="7:8" ht="14.25" customHeight="1" x14ac:dyDescent="0.3">
      <c r="G731"/>
      <c r="H731"/>
    </row>
    <row r="732" spans="7:8" ht="14.25" customHeight="1" x14ac:dyDescent="0.3">
      <c r="G732"/>
      <c r="H732"/>
    </row>
    <row r="733" spans="7:8" ht="14.25" customHeight="1" x14ac:dyDescent="0.3">
      <c r="G733"/>
      <c r="H733"/>
    </row>
    <row r="734" spans="7:8" ht="14.25" customHeight="1" x14ac:dyDescent="0.3">
      <c r="G734"/>
      <c r="H734"/>
    </row>
    <row r="735" spans="7:8" ht="14.25" customHeight="1" x14ac:dyDescent="0.3">
      <c r="G735"/>
      <c r="H735"/>
    </row>
    <row r="736" spans="7:8" ht="14.25" customHeight="1" x14ac:dyDescent="0.3">
      <c r="G736"/>
      <c r="H736"/>
    </row>
    <row r="737" spans="7:8" ht="14.25" customHeight="1" x14ac:dyDescent="0.3">
      <c r="G737"/>
      <c r="H737"/>
    </row>
    <row r="738" spans="7:8" ht="14.25" customHeight="1" x14ac:dyDescent="0.3">
      <c r="G738"/>
      <c r="H738"/>
    </row>
    <row r="739" spans="7:8" ht="14.25" customHeight="1" x14ac:dyDescent="0.3">
      <c r="G739"/>
      <c r="H739"/>
    </row>
    <row r="740" spans="7:8" ht="14.25" customHeight="1" x14ac:dyDescent="0.3">
      <c r="G740"/>
      <c r="H740"/>
    </row>
    <row r="741" spans="7:8" ht="14.25" customHeight="1" x14ac:dyDescent="0.3">
      <c r="G741"/>
      <c r="H741"/>
    </row>
    <row r="742" spans="7:8" ht="14.25" customHeight="1" x14ac:dyDescent="0.3">
      <c r="G742"/>
      <c r="H742"/>
    </row>
    <row r="743" spans="7:8" ht="14.25" customHeight="1" x14ac:dyDescent="0.3">
      <c r="G743"/>
      <c r="H743"/>
    </row>
    <row r="744" spans="7:8" ht="14.25" customHeight="1" x14ac:dyDescent="0.3">
      <c r="G744"/>
      <c r="H744"/>
    </row>
    <row r="745" spans="7:8" ht="14.25" customHeight="1" x14ac:dyDescent="0.3">
      <c r="G745"/>
      <c r="H745"/>
    </row>
    <row r="746" spans="7:8" ht="14.25" customHeight="1" x14ac:dyDescent="0.3">
      <c r="G746"/>
      <c r="H746"/>
    </row>
    <row r="747" spans="7:8" ht="14.25" customHeight="1" x14ac:dyDescent="0.3">
      <c r="G747"/>
      <c r="H747"/>
    </row>
    <row r="748" spans="7:8" ht="14.25" customHeight="1" x14ac:dyDescent="0.3">
      <c r="G748"/>
      <c r="H748"/>
    </row>
    <row r="749" spans="7:8" ht="14.25" customHeight="1" x14ac:dyDescent="0.3">
      <c r="G749"/>
      <c r="H749"/>
    </row>
    <row r="750" spans="7:8" ht="14.25" customHeight="1" x14ac:dyDescent="0.3">
      <c r="G750"/>
      <c r="H750"/>
    </row>
    <row r="751" spans="7:8" ht="14.25" customHeight="1" x14ac:dyDescent="0.3">
      <c r="G751"/>
      <c r="H751"/>
    </row>
    <row r="752" spans="7:8" ht="14.25" customHeight="1" x14ac:dyDescent="0.3">
      <c r="G752"/>
      <c r="H752"/>
    </row>
    <row r="753" spans="7:8" ht="14.25" customHeight="1" x14ac:dyDescent="0.3">
      <c r="G753"/>
      <c r="H753"/>
    </row>
    <row r="754" spans="7:8" ht="14.25" customHeight="1" x14ac:dyDescent="0.3">
      <c r="G754"/>
      <c r="H754"/>
    </row>
    <row r="755" spans="7:8" ht="14.25" customHeight="1" x14ac:dyDescent="0.3">
      <c r="G755"/>
      <c r="H755"/>
    </row>
    <row r="756" spans="7:8" ht="14.25" customHeight="1" x14ac:dyDescent="0.3">
      <c r="G756"/>
      <c r="H756"/>
    </row>
    <row r="757" spans="7:8" ht="14.25" customHeight="1" x14ac:dyDescent="0.3">
      <c r="G757"/>
      <c r="H757"/>
    </row>
    <row r="758" spans="7:8" ht="14.25" customHeight="1" x14ac:dyDescent="0.3">
      <c r="G758"/>
      <c r="H758"/>
    </row>
    <row r="759" spans="7:8" ht="14.25" customHeight="1" x14ac:dyDescent="0.3">
      <c r="G759"/>
      <c r="H759"/>
    </row>
    <row r="760" spans="7:8" ht="14.25" customHeight="1" x14ac:dyDescent="0.3">
      <c r="G760"/>
      <c r="H760"/>
    </row>
    <row r="761" spans="7:8" ht="14.25" customHeight="1" x14ac:dyDescent="0.3">
      <c r="G761"/>
      <c r="H761"/>
    </row>
    <row r="762" spans="7:8" ht="14.25" customHeight="1" x14ac:dyDescent="0.3">
      <c r="G762"/>
      <c r="H762"/>
    </row>
    <row r="763" spans="7:8" ht="14.25" customHeight="1" x14ac:dyDescent="0.3">
      <c r="G763"/>
      <c r="H763"/>
    </row>
    <row r="764" spans="7:8" ht="14.25" customHeight="1" x14ac:dyDescent="0.3">
      <c r="G764"/>
      <c r="H764"/>
    </row>
    <row r="765" spans="7:8" ht="14.25" customHeight="1" x14ac:dyDescent="0.3">
      <c r="G765"/>
      <c r="H765"/>
    </row>
    <row r="766" spans="7:8" ht="14.25" customHeight="1" x14ac:dyDescent="0.3">
      <c r="G766"/>
      <c r="H766"/>
    </row>
    <row r="767" spans="7:8" ht="14.25" customHeight="1" x14ac:dyDescent="0.3">
      <c r="G767"/>
      <c r="H767"/>
    </row>
    <row r="768" spans="7:8" ht="14.25" customHeight="1" x14ac:dyDescent="0.3">
      <c r="G768"/>
      <c r="H768"/>
    </row>
    <row r="769" spans="7:8" ht="14.25" customHeight="1" x14ac:dyDescent="0.3">
      <c r="G769"/>
      <c r="H769"/>
    </row>
    <row r="770" spans="7:8" ht="14.25" customHeight="1" x14ac:dyDescent="0.3">
      <c r="G770"/>
      <c r="H770"/>
    </row>
    <row r="771" spans="7:8" ht="14.25" customHeight="1" x14ac:dyDescent="0.3">
      <c r="G771"/>
      <c r="H771"/>
    </row>
    <row r="772" spans="7:8" ht="14.25" customHeight="1" x14ac:dyDescent="0.3">
      <c r="G772"/>
      <c r="H772"/>
    </row>
    <row r="773" spans="7:8" ht="14.25" customHeight="1" x14ac:dyDescent="0.3">
      <c r="G773"/>
      <c r="H773"/>
    </row>
    <row r="774" spans="7:8" ht="14.25" customHeight="1" x14ac:dyDescent="0.3">
      <c r="G774"/>
      <c r="H774"/>
    </row>
    <row r="775" spans="7:8" ht="14.25" customHeight="1" x14ac:dyDescent="0.3">
      <c r="G775"/>
      <c r="H775"/>
    </row>
    <row r="776" spans="7:8" ht="14.25" customHeight="1" x14ac:dyDescent="0.3">
      <c r="G776"/>
      <c r="H776"/>
    </row>
    <row r="777" spans="7:8" ht="14.25" customHeight="1" x14ac:dyDescent="0.3">
      <c r="G777"/>
      <c r="H777"/>
    </row>
    <row r="778" spans="7:8" ht="14.25" customHeight="1" x14ac:dyDescent="0.3">
      <c r="G778"/>
      <c r="H778"/>
    </row>
    <row r="779" spans="7:8" ht="14.25" customHeight="1" x14ac:dyDescent="0.3">
      <c r="G779"/>
      <c r="H779"/>
    </row>
    <row r="780" spans="7:8" ht="14.25" customHeight="1" x14ac:dyDescent="0.3">
      <c r="G780"/>
      <c r="H780"/>
    </row>
    <row r="781" spans="7:8" ht="14.25" customHeight="1" x14ac:dyDescent="0.3">
      <c r="G781"/>
      <c r="H781"/>
    </row>
    <row r="782" spans="7:8" ht="14.25" customHeight="1" x14ac:dyDescent="0.3">
      <c r="G782"/>
      <c r="H782"/>
    </row>
    <row r="783" spans="7:8" ht="14.25" customHeight="1" x14ac:dyDescent="0.3">
      <c r="G783"/>
      <c r="H783"/>
    </row>
    <row r="784" spans="7:8" ht="14.25" customHeight="1" x14ac:dyDescent="0.3">
      <c r="G784"/>
      <c r="H784"/>
    </row>
    <row r="785" spans="7:8" ht="14.25" customHeight="1" x14ac:dyDescent="0.3">
      <c r="G785"/>
      <c r="H785"/>
    </row>
    <row r="786" spans="7:8" ht="14.25" customHeight="1" x14ac:dyDescent="0.3">
      <c r="G786"/>
      <c r="H786"/>
    </row>
    <row r="787" spans="7:8" ht="14.25" customHeight="1" x14ac:dyDescent="0.3">
      <c r="G787"/>
      <c r="H787"/>
    </row>
    <row r="788" spans="7:8" ht="14.25" customHeight="1" x14ac:dyDescent="0.3">
      <c r="G788"/>
      <c r="H788"/>
    </row>
    <row r="789" spans="7:8" ht="14.25" customHeight="1" x14ac:dyDescent="0.3">
      <c r="G789"/>
      <c r="H789"/>
    </row>
    <row r="790" spans="7:8" ht="14.25" customHeight="1" x14ac:dyDescent="0.3">
      <c r="G790"/>
      <c r="H790"/>
    </row>
    <row r="791" spans="7:8" ht="14.25" customHeight="1" x14ac:dyDescent="0.3">
      <c r="G791"/>
      <c r="H791"/>
    </row>
    <row r="792" spans="7:8" ht="14.25" customHeight="1" x14ac:dyDescent="0.3">
      <c r="G792"/>
      <c r="H792"/>
    </row>
    <row r="793" spans="7:8" ht="14.25" customHeight="1" x14ac:dyDescent="0.3">
      <c r="G793"/>
      <c r="H793"/>
    </row>
    <row r="794" spans="7:8" ht="14.25" customHeight="1" x14ac:dyDescent="0.3">
      <c r="G794"/>
      <c r="H794"/>
    </row>
    <row r="795" spans="7:8" ht="14.25" customHeight="1" x14ac:dyDescent="0.3">
      <c r="G795"/>
      <c r="H795"/>
    </row>
    <row r="796" spans="7:8" ht="14.25" customHeight="1" x14ac:dyDescent="0.3">
      <c r="G796"/>
      <c r="H796"/>
    </row>
    <row r="797" spans="7:8" ht="14.25" customHeight="1" x14ac:dyDescent="0.3">
      <c r="G797"/>
      <c r="H797"/>
    </row>
    <row r="798" spans="7:8" ht="14.25" customHeight="1" x14ac:dyDescent="0.3">
      <c r="G798"/>
      <c r="H798"/>
    </row>
    <row r="799" spans="7:8" ht="14.25" customHeight="1" x14ac:dyDescent="0.3">
      <c r="G799"/>
      <c r="H799"/>
    </row>
    <row r="800" spans="7:8" ht="14.25" customHeight="1" x14ac:dyDescent="0.3">
      <c r="G800"/>
      <c r="H800"/>
    </row>
    <row r="801" spans="7:8" ht="14.25" customHeight="1" x14ac:dyDescent="0.3">
      <c r="G801"/>
      <c r="H801"/>
    </row>
    <row r="802" spans="7:8" ht="14.25" customHeight="1" x14ac:dyDescent="0.3">
      <c r="G802"/>
      <c r="H802"/>
    </row>
    <row r="803" spans="7:8" ht="14.25" customHeight="1" x14ac:dyDescent="0.3">
      <c r="G803"/>
      <c r="H803"/>
    </row>
    <row r="804" spans="7:8" ht="14.25" customHeight="1" x14ac:dyDescent="0.3">
      <c r="G804"/>
      <c r="H804"/>
    </row>
    <row r="805" spans="7:8" ht="14.25" customHeight="1" x14ac:dyDescent="0.3">
      <c r="G805"/>
      <c r="H805"/>
    </row>
    <row r="806" spans="7:8" ht="14.25" customHeight="1" x14ac:dyDescent="0.3">
      <c r="G806"/>
      <c r="H806"/>
    </row>
    <row r="807" spans="7:8" ht="14.25" customHeight="1" x14ac:dyDescent="0.3">
      <c r="G807"/>
      <c r="H807"/>
    </row>
    <row r="808" spans="7:8" ht="14.25" customHeight="1" x14ac:dyDescent="0.3">
      <c r="G808"/>
      <c r="H808"/>
    </row>
    <row r="809" spans="7:8" ht="14.25" customHeight="1" x14ac:dyDescent="0.3">
      <c r="G809"/>
      <c r="H809"/>
    </row>
    <row r="810" spans="7:8" ht="14.25" customHeight="1" x14ac:dyDescent="0.3">
      <c r="G810"/>
      <c r="H810"/>
    </row>
    <row r="811" spans="7:8" ht="14.25" customHeight="1" x14ac:dyDescent="0.3">
      <c r="G811"/>
      <c r="H811"/>
    </row>
    <row r="812" spans="7:8" ht="14.25" customHeight="1" x14ac:dyDescent="0.3">
      <c r="G812"/>
      <c r="H812"/>
    </row>
    <row r="813" spans="7:8" ht="14.25" customHeight="1" x14ac:dyDescent="0.3">
      <c r="G813"/>
      <c r="H813"/>
    </row>
    <row r="814" spans="7:8" ht="14.25" customHeight="1" x14ac:dyDescent="0.3">
      <c r="G814"/>
      <c r="H814"/>
    </row>
    <row r="815" spans="7:8" ht="14.25" customHeight="1" x14ac:dyDescent="0.3">
      <c r="G815"/>
      <c r="H815"/>
    </row>
    <row r="816" spans="7:8" ht="14.25" customHeight="1" x14ac:dyDescent="0.3">
      <c r="G816"/>
      <c r="H816"/>
    </row>
    <row r="817" spans="7:8" ht="14.25" customHeight="1" x14ac:dyDescent="0.3">
      <c r="G817"/>
      <c r="H817"/>
    </row>
    <row r="818" spans="7:8" ht="14.25" customHeight="1" x14ac:dyDescent="0.3">
      <c r="G818"/>
      <c r="H818"/>
    </row>
    <row r="819" spans="7:8" ht="14.25" customHeight="1" x14ac:dyDescent="0.3">
      <c r="G819"/>
      <c r="H819"/>
    </row>
    <row r="820" spans="7:8" ht="14.25" customHeight="1" x14ac:dyDescent="0.3">
      <c r="G820"/>
      <c r="H820"/>
    </row>
    <row r="821" spans="7:8" ht="14.25" customHeight="1" x14ac:dyDescent="0.3">
      <c r="G821"/>
      <c r="H821"/>
    </row>
    <row r="822" spans="7:8" ht="14.25" customHeight="1" x14ac:dyDescent="0.3">
      <c r="G822"/>
      <c r="H822"/>
    </row>
    <row r="823" spans="7:8" ht="14.25" customHeight="1" x14ac:dyDescent="0.3">
      <c r="G823"/>
      <c r="H823"/>
    </row>
    <row r="824" spans="7:8" ht="14.25" customHeight="1" x14ac:dyDescent="0.3">
      <c r="G824"/>
      <c r="H824"/>
    </row>
    <row r="825" spans="7:8" ht="14.25" customHeight="1" x14ac:dyDescent="0.3">
      <c r="G825"/>
      <c r="H825"/>
    </row>
    <row r="826" spans="7:8" ht="14.25" customHeight="1" x14ac:dyDescent="0.3">
      <c r="G826"/>
      <c r="H826"/>
    </row>
    <row r="827" spans="7:8" ht="14.25" customHeight="1" x14ac:dyDescent="0.3">
      <c r="G827"/>
      <c r="H827"/>
    </row>
    <row r="828" spans="7:8" ht="14.25" customHeight="1" x14ac:dyDescent="0.3">
      <c r="G828"/>
      <c r="H828"/>
    </row>
    <row r="829" spans="7:8" ht="14.25" customHeight="1" x14ac:dyDescent="0.3">
      <c r="G829"/>
      <c r="H829"/>
    </row>
    <row r="830" spans="7:8" ht="14.25" customHeight="1" x14ac:dyDescent="0.3">
      <c r="G830"/>
      <c r="H830"/>
    </row>
    <row r="831" spans="7:8" ht="14.25" customHeight="1" x14ac:dyDescent="0.3">
      <c r="G831"/>
      <c r="H831"/>
    </row>
    <row r="832" spans="7:8" ht="14.25" customHeight="1" x14ac:dyDescent="0.3">
      <c r="G832"/>
      <c r="H832"/>
    </row>
    <row r="833" spans="7:8" ht="14.25" customHeight="1" x14ac:dyDescent="0.3">
      <c r="G833"/>
      <c r="H833"/>
    </row>
    <row r="834" spans="7:8" ht="14.25" customHeight="1" x14ac:dyDescent="0.3">
      <c r="G834"/>
      <c r="H834"/>
    </row>
    <row r="835" spans="7:8" ht="14.25" customHeight="1" x14ac:dyDescent="0.3">
      <c r="G835"/>
      <c r="H835"/>
    </row>
    <row r="836" spans="7:8" ht="14.25" customHeight="1" x14ac:dyDescent="0.3">
      <c r="G836"/>
      <c r="H836"/>
    </row>
    <row r="837" spans="7:8" ht="14.25" customHeight="1" x14ac:dyDescent="0.3">
      <c r="G837"/>
      <c r="H837"/>
    </row>
    <row r="838" spans="7:8" ht="14.25" customHeight="1" x14ac:dyDescent="0.3">
      <c r="G838"/>
      <c r="H838"/>
    </row>
    <row r="839" spans="7:8" ht="14.25" customHeight="1" x14ac:dyDescent="0.3">
      <c r="G839"/>
      <c r="H839"/>
    </row>
    <row r="840" spans="7:8" ht="14.25" customHeight="1" x14ac:dyDescent="0.3">
      <c r="G840"/>
      <c r="H840"/>
    </row>
    <row r="841" spans="7:8" ht="14.25" customHeight="1" x14ac:dyDescent="0.3">
      <c r="G841"/>
      <c r="H841"/>
    </row>
    <row r="842" spans="7:8" ht="14.25" customHeight="1" x14ac:dyDescent="0.3">
      <c r="G842"/>
      <c r="H842"/>
    </row>
    <row r="843" spans="7:8" ht="14.25" customHeight="1" x14ac:dyDescent="0.3">
      <c r="G843"/>
      <c r="H843"/>
    </row>
    <row r="844" spans="7:8" ht="14.25" customHeight="1" x14ac:dyDescent="0.3">
      <c r="G844"/>
      <c r="H844"/>
    </row>
    <row r="845" spans="7:8" ht="14.25" customHeight="1" x14ac:dyDescent="0.3">
      <c r="G845"/>
      <c r="H845"/>
    </row>
    <row r="846" spans="7:8" ht="14.25" customHeight="1" x14ac:dyDescent="0.3">
      <c r="G846"/>
      <c r="H846"/>
    </row>
    <row r="847" spans="7:8" ht="14.25" customHeight="1" x14ac:dyDescent="0.3">
      <c r="G847"/>
      <c r="H847"/>
    </row>
    <row r="848" spans="7:8" ht="14.25" customHeight="1" x14ac:dyDescent="0.3">
      <c r="G848"/>
      <c r="H848"/>
    </row>
    <row r="849" spans="7:8" ht="14.25" customHeight="1" x14ac:dyDescent="0.3">
      <c r="G849"/>
      <c r="H849"/>
    </row>
    <row r="850" spans="7:8" ht="14.25" customHeight="1" x14ac:dyDescent="0.3">
      <c r="G850"/>
      <c r="H850"/>
    </row>
    <row r="851" spans="7:8" ht="14.25" customHeight="1" x14ac:dyDescent="0.3">
      <c r="G851"/>
      <c r="H851"/>
    </row>
    <row r="852" spans="7:8" ht="14.25" customHeight="1" x14ac:dyDescent="0.3">
      <c r="G852"/>
      <c r="H852"/>
    </row>
    <row r="853" spans="7:8" ht="14.25" customHeight="1" x14ac:dyDescent="0.3">
      <c r="G853"/>
      <c r="H853"/>
    </row>
    <row r="854" spans="7:8" ht="14.25" customHeight="1" x14ac:dyDescent="0.3">
      <c r="G854"/>
      <c r="H854"/>
    </row>
    <row r="855" spans="7:8" ht="14.25" customHeight="1" x14ac:dyDescent="0.3">
      <c r="G855"/>
      <c r="H855"/>
    </row>
    <row r="856" spans="7:8" ht="14.25" customHeight="1" x14ac:dyDescent="0.3">
      <c r="G856"/>
      <c r="H856"/>
    </row>
    <row r="857" spans="7:8" ht="14.25" customHeight="1" x14ac:dyDescent="0.3">
      <c r="G857"/>
      <c r="H857"/>
    </row>
    <row r="858" spans="7:8" ht="14.25" customHeight="1" x14ac:dyDescent="0.3">
      <c r="G858"/>
      <c r="H858"/>
    </row>
    <row r="859" spans="7:8" ht="14.25" customHeight="1" x14ac:dyDescent="0.3">
      <c r="G859"/>
      <c r="H859"/>
    </row>
    <row r="860" spans="7:8" ht="14.25" customHeight="1" x14ac:dyDescent="0.3">
      <c r="G860"/>
      <c r="H860"/>
    </row>
    <row r="861" spans="7:8" ht="14.25" customHeight="1" x14ac:dyDescent="0.3">
      <c r="G861"/>
      <c r="H861"/>
    </row>
    <row r="862" spans="7:8" ht="14.25" customHeight="1" x14ac:dyDescent="0.3">
      <c r="G862"/>
      <c r="H862"/>
    </row>
    <row r="863" spans="7:8" ht="14.25" customHeight="1" x14ac:dyDescent="0.3">
      <c r="G863"/>
      <c r="H863"/>
    </row>
    <row r="864" spans="7:8" ht="14.25" customHeight="1" x14ac:dyDescent="0.3">
      <c r="G864"/>
      <c r="H864"/>
    </row>
    <row r="865" spans="7:8" ht="14.25" customHeight="1" x14ac:dyDescent="0.3">
      <c r="G865"/>
      <c r="H865"/>
    </row>
    <row r="866" spans="7:8" ht="14.25" customHeight="1" x14ac:dyDescent="0.3">
      <c r="G866"/>
      <c r="H866"/>
    </row>
    <row r="867" spans="7:8" ht="14.25" customHeight="1" x14ac:dyDescent="0.3">
      <c r="G867"/>
      <c r="H867"/>
    </row>
    <row r="868" spans="7:8" ht="14.25" customHeight="1" x14ac:dyDescent="0.3">
      <c r="G868"/>
      <c r="H868"/>
    </row>
    <row r="869" spans="7:8" ht="14.25" customHeight="1" x14ac:dyDescent="0.3">
      <c r="G869"/>
      <c r="H869"/>
    </row>
    <row r="870" spans="7:8" ht="14.25" customHeight="1" x14ac:dyDescent="0.3">
      <c r="G870"/>
      <c r="H870"/>
    </row>
    <row r="871" spans="7:8" ht="14.25" customHeight="1" x14ac:dyDescent="0.3">
      <c r="G871"/>
      <c r="H871"/>
    </row>
    <row r="872" spans="7:8" ht="14.25" customHeight="1" x14ac:dyDescent="0.3">
      <c r="G872"/>
      <c r="H872"/>
    </row>
    <row r="873" spans="7:8" ht="14.25" customHeight="1" x14ac:dyDescent="0.3">
      <c r="G873"/>
      <c r="H873"/>
    </row>
    <row r="874" spans="7:8" ht="14.25" customHeight="1" x14ac:dyDescent="0.3">
      <c r="G874"/>
      <c r="H874"/>
    </row>
    <row r="875" spans="7:8" ht="14.25" customHeight="1" x14ac:dyDescent="0.3">
      <c r="G875"/>
      <c r="H875"/>
    </row>
    <row r="876" spans="7:8" ht="14.25" customHeight="1" x14ac:dyDescent="0.3">
      <c r="G876"/>
      <c r="H876"/>
    </row>
    <row r="877" spans="7:8" ht="14.25" customHeight="1" x14ac:dyDescent="0.3">
      <c r="G877"/>
      <c r="H877"/>
    </row>
    <row r="878" spans="7:8" ht="14.25" customHeight="1" x14ac:dyDescent="0.3">
      <c r="G878"/>
      <c r="H878"/>
    </row>
    <row r="879" spans="7:8" ht="14.25" customHeight="1" x14ac:dyDescent="0.3">
      <c r="G879"/>
      <c r="H879"/>
    </row>
    <row r="880" spans="7:8" ht="14.25" customHeight="1" x14ac:dyDescent="0.3">
      <c r="G880"/>
      <c r="H880"/>
    </row>
    <row r="881" spans="7:8" ht="14.25" customHeight="1" x14ac:dyDescent="0.3">
      <c r="G881"/>
      <c r="H881"/>
    </row>
    <row r="882" spans="7:8" ht="14.25" customHeight="1" x14ac:dyDescent="0.3">
      <c r="G882"/>
      <c r="H882"/>
    </row>
    <row r="883" spans="7:8" ht="14.25" customHeight="1" x14ac:dyDescent="0.3">
      <c r="G883"/>
      <c r="H883"/>
    </row>
    <row r="884" spans="7:8" ht="14.25" customHeight="1" x14ac:dyDescent="0.3">
      <c r="G884"/>
      <c r="H884"/>
    </row>
    <row r="885" spans="7:8" ht="14.25" customHeight="1" x14ac:dyDescent="0.3">
      <c r="G885"/>
      <c r="H885"/>
    </row>
    <row r="886" spans="7:8" ht="14.25" customHeight="1" x14ac:dyDescent="0.3">
      <c r="G886"/>
      <c r="H886"/>
    </row>
    <row r="887" spans="7:8" ht="14.25" customHeight="1" x14ac:dyDescent="0.3">
      <c r="G887"/>
      <c r="H887"/>
    </row>
    <row r="888" spans="7:8" ht="14.25" customHeight="1" x14ac:dyDescent="0.3">
      <c r="G888"/>
      <c r="H888"/>
    </row>
    <row r="889" spans="7:8" ht="14.25" customHeight="1" x14ac:dyDescent="0.3">
      <c r="G889"/>
      <c r="H889"/>
    </row>
    <row r="890" spans="7:8" ht="14.25" customHeight="1" x14ac:dyDescent="0.3">
      <c r="G890"/>
      <c r="H890"/>
    </row>
    <row r="891" spans="7:8" ht="14.25" customHeight="1" x14ac:dyDescent="0.3">
      <c r="G891"/>
      <c r="H891"/>
    </row>
    <row r="892" spans="7:8" ht="14.25" customHeight="1" x14ac:dyDescent="0.3">
      <c r="G892"/>
      <c r="H892"/>
    </row>
    <row r="893" spans="7:8" ht="14.25" customHeight="1" x14ac:dyDescent="0.3">
      <c r="G893"/>
      <c r="H893"/>
    </row>
    <row r="894" spans="7:8" ht="14.25" customHeight="1" x14ac:dyDescent="0.3">
      <c r="G894"/>
      <c r="H894"/>
    </row>
    <row r="895" spans="7:8" ht="14.25" customHeight="1" x14ac:dyDescent="0.3">
      <c r="G895"/>
      <c r="H895"/>
    </row>
    <row r="896" spans="7:8" ht="14.25" customHeight="1" x14ac:dyDescent="0.3">
      <c r="G896"/>
      <c r="H896"/>
    </row>
    <row r="897" spans="7:8" ht="14.25" customHeight="1" x14ac:dyDescent="0.3">
      <c r="G897"/>
      <c r="H897"/>
    </row>
    <row r="898" spans="7:8" ht="14.25" customHeight="1" x14ac:dyDescent="0.3">
      <c r="G898"/>
      <c r="H898"/>
    </row>
    <row r="899" spans="7:8" ht="14.25" customHeight="1" x14ac:dyDescent="0.3">
      <c r="G899"/>
      <c r="H899"/>
    </row>
    <row r="900" spans="7:8" ht="14.25" customHeight="1" x14ac:dyDescent="0.3">
      <c r="G900"/>
      <c r="H900"/>
    </row>
    <row r="901" spans="7:8" ht="14.25" customHeight="1" x14ac:dyDescent="0.3">
      <c r="G901"/>
      <c r="H901"/>
    </row>
    <row r="902" spans="7:8" ht="14.25" customHeight="1" x14ac:dyDescent="0.3">
      <c r="G902"/>
      <c r="H902"/>
    </row>
    <row r="903" spans="7:8" ht="14.25" customHeight="1" x14ac:dyDescent="0.3">
      <c r="G903"/>
      <c r="H903"/>
    </row>
    <row r="904" spans="7:8" ht="14.25" customHeight="1" x14ac:dyDescent="0.3">
      <c r="G904"/>
      <c r="H904"/>
    </row>
    <row r="905" spans="7:8" ht="14.25" customHeight="1" x14ac:dyDescent="0.3">
      <c r="G905"/>
      <c r="H905"/>
    </row>
    <row r="906" spans="7:8" ht="14.25" customHeight="1" x14ac:dyDescent="0.3">
      <c r="G906"/>
      <c r="H906"/>
    </row>
    <row r="907" spans="7:8" ht="14.25" customHeight="1" x14ac:dyDescent="0.3">
      <c r="G907"/>
      <c r="H907"/>
    </row>
    <row r="908" spans="7:8" ht="14.25" customHeight="1" x14ac:dyDescent="0.3">
      <c r="G908"/>
      <c r="H908"/>
    </row>
    <row r="909" spans="7:8" ht="14.25" customHeight="1" x14ac:dyDescent="0.3">
      <c r="G909"/>
      <c r="H909"/>
    </row>
    <row r="910" spans="7:8" ht="14.25" customHeight="1" x14ac:dyDescent="0.3">
      <c r="G910"/>
      <c r="H910"/>
    </row>
    <row r="911" spans="7:8" ht="14.25" customHeight="1" x14ac:dyDescent="0.3">
      <c r="G911"/>
      <c r="H911"/>
    </row>
    <row r="912" spans="7:8" ht="14.25" customHeight="1" x14ac:dyDescent="0.3">
      <c r="G912"/>
      <c r="H912"/>
    </row>
    <row r="913" spans="7:8" ht="14.25" customHeight="1" x14ac:dyDescent="0.3">
      <c r="G913"/>
      <c r="H913"/>
    </row>
    <row r="914" spans="7:8" ht="14.25" customHeight="1" x14ac:dyDescent="0.3">
      <c r="G914"/>
      <c r="H914"/>
    </row>
    <row r="915" spans="7:8" ht="14.25" customHeight="1" x14ac:dyDescent="0.3">
      <c r="G915"/>
      <c r="H915"/>
    </row>
    <row r="916" spans="7:8" ht="14.25" customHeight="1" x14ac:dyDescent="0.3">
      <c r="G916"/>
      <c r="H916"/>
    </row>
    <row r="917" spans="7:8" ht="14.25" customHeight="1" x14ac:dyDescent="0.3">
      <c r="G917"/>
      <c r="H917"/>
    </row>
    <row r="918" spans="7:8" ht="14.25" customHeight="1" x14ac:dyDescent="0.3">
      <c r="G918"/>
      <c r="H918"/>
    </row>
    <row r="919" spans="7:8" ht="14.25" customHeight="1" x14ac:dyDescent="0.3">
      <c r="G919"/>
      <c r="H919"/>
    </row>
    <row r="920" spans="7:8" ht="14.25" customHeight="1" x14ac:dyDescent="0.3">
      <c r="G920"/>
      <c r="H920"/>
    </row>
    <row r="921" spans="7:8" ht="14.25" customHeight="1" x14ac:dyDescent="0.3">
      <c r="G921"/>
      <c r="H921"/>
    </row>
    <row r="922" spans="7:8" ht="14.25" customHeight="1" x14ac:dyDescent="0.3">
      <c r="G922"/>
      <c r="H922"/>
    </row>
    <row r="923" spans="7:8" ht="14.25" customHeight="1" x14ac:dyDescent="0.3">
      <c r="G923"/>
      <c r="H923"/>
    </row>
    <row r="924" spans="7:8" ht="14.25" customHeight="1" x14ac:dyDescent="0.3">
      <c r="G924"/>
      <c r="H924"/>
    </row>
    <row r="925" spans="7:8" ht="14.25" customHeight="1" x14ac:dyDescent="0.3">
      <c r="G925"/>
      <c r="H925"/>
    </row>
    <row r="926" spans="7:8" ht="14.25" customHeight="1" x14ac:dyDescent="0.3">
      <c r="G926"/>
      <c r="H926"/>
    </row>
    <row r="927" spans="7:8" ht="14.25" customHeight="1" x14ac:dyDescent="0.3">
      <c r="G927"/>
      <c r="H927"/>
    </row>
    <row r="928" spans="7:8" ht="14.25" customHeight="1" x14ac:dyDescent="0.3">
      <c r="G928"/>
      <c r="H928"/>
    </row>
    <row r="929" spans="7:8" ht="14.25" customHeight="1" x14ac:dyDescent="0.3">
      <c r="G929"/>
      <c r="H929"/>
    </row>
    <row r="930" spans="7:8" ht="14.25" customHeight="1" x14ac:dyDescent="0.3">
      <c r="G930"/>
      <c r="H930"/>
    </row>
    <row r="931" spans="7:8" ht="14.25" customHeight="1" x14ac:dyDescent="0.3">
      <c r="G931"/>
      <c r="H931"/>
    </row>
    <row r="932" spans="7:8" ht="14.25" customHeight="1" x14ac:dyDescent="0.3">
      <c r="G932"/>
      <c r="H932"/>
    </row>
    <row r="933" spans="7:8" ht="14.25" customHeight="1" x14ac:dyDescent="0.3">
      <c r="G933"/>
      <c r="H933"/>
    </row>
    <row r="934" spans="7:8" ht="14.25" customHeight="1" x14ac:dyDescent="0.3">
      <c r="G934"/>
      <c r="H934"/>
    </row>
    <row r="935" spans="7:8" ht="14.25" customHeight="1" x14ac:dyDescent="0.3">
      <c r="G935"/>
      <c r="H935"/>
    </row>
    <row r="936" spans="7:8" ht="14.25" customHeight="1" x14ac:dyDescent="0.3">
      <c r="G936"/>
      <c r="H936"/>
    </row>
    <row r="937" spans="7:8" ht="14.25" customHeight="1" x14ac:dyDescent="0.3">
      <c r="G937"/>
      <c r="H937"/>
    </row>
    <row r="938" spans="7:8" ht="14.25" customHeight="1" x14ac:dyDescent="0.3">
      <c r="G938"/>
      <c r="H938"/>
    </row>
    <row r="939" spans="7:8" ht="14.25" customHeight="1" x14ac:dyDescent="0.3">
      <c r="G939"/>
      <c r="H939"/>
    </row>
    <row r="940" spans="7:8" ht="14.25" customHeight="1" x14ac:dyDescent="0.3">
      <c r="G940"/>
      <c r="H940"/>
    </row>
    <row r="941" spans="7:8" ht="14.25" customHeight="1" x14ac:dyDescent="0.3">
      <c r="G941"/>
      <c r="H941"/>
    </row>
    <row r="942" spans="7:8" ht="14.25" customHeight="1" x14ac:dyDescent="0.3">
      <c r="G942"/>
      <c r="H942"/>
    </row>
    <row r="943" spans="7:8" ht="14.25" customHeight="1" x14ac:dyDescent="0.3">
      <c r="G943"/>
      <c r="H943"/>
    </row>
    <row r="944" spans="7:8" ht="14.25" customHeight="1" x14ac:dyDescent="0.3">
      <c r="G944"/>
      <c r="H944"/>
    </row>
    <row r="945" spans="7:8" ht="14.25" customHeight="1" x14ac:dyDescent="0.3">
      <c r="G945"/>
      <c r="H945"/>
    </row>
    <row r="946" spans="7:8" ht="14.25" customHeight="1" x14ac:dyDescent="0.3">
      <c r="G946"/>
      <c r="H946"/>
    </row>
    <row r="947" spans="7:8" ht="14.25" customHeight="1" x14ac:dyDescent="0.3">
      <c r="G947"/>
      <c r="H947"/>
    </row>
    <row r="948" spans="7:8" ht="14.25" customHeight="1" x14ac:dyDescent="0.3">
      <c r="G948"/>
      <c r="H948"/>
    </row>
    <row r="949" spans="7:8" ht="14.25" customHeight="1" x14ac:dyDescent="0.3">
      <c r="G949"/>
      <c r="H949"/>
    </row>
    <row r="950" spans="7:8" ht="14.25" customHeight="1" x14ac:dyDescent="0.3">
      <c r="G950"/>
      <c r="H950"/>
    </row>
    <row r="951" spans="7:8" ht="14.25" customHeight="1" x14ac:dyDescent="0.3">
      <c r="G951"/>
      <c r="H951"/>
    </row>
    <row r="952" spans="7:8" ht="14.25" customHeight="1" x14ac:dyDescent="0.3">
      <c r="G952"/>
      <c r="H952"/>
    </row>
    <row r="953" spans="7:8" ht="14.25" customHeight="1" x14ac:dyDescent="0.3">
      <c r="G953"/>
      <c r="H953"/>
    </row>
    <row r="954" spans="7:8" ht="14.25" customHeight="1" x14ac:dyDescent="0.3">
      <c r="G954"/>
      <c r="H954"/>
    </row>
    <row r="955" spans="7:8" ht="14.25" customHeight="1" x14ac:dyDescent="0.3">
      <c r="G955"/>
      <c r="H955"/>
    </row>
    <row r="956" spans="7:8" ht="14.25" customHeight="1" x14ac:dyDescent="0.3">
      <c r="G956"/>
      <c r="H956"/>
    </row>
    <row r="957" spans="7:8" ht="14.25" customHeight="1" x14ac:dyDescent="0.3">
      <c r="G957"/>
      <c r="H957"/>
    </row>
    <row r="958" spans="7:8" ht="14.25" customHeight="1" x14ac:dyDescent="0.3">
      <c r="G958"/>
      <c r="H958"/>
    </row>
    <row r="959" spans="7:8" ht="14.25" customHeight="1" x14ac:dyDescent="0.3">
      <c r="G959"/>
      <c r="H959"/>
    </row>
    <row r="960" spans="7:8" ht="14.25" customHeight="1" x14ac:dyDescent="0.3">
      <c r="G960"/>
      <c r="H960"/>
    </row>
    <row r="961" spans="7:8" ht="14.25" customHeight="1" x14ac:dyDescent="0.3">
      <c r="G961"/>
      <c r="H961"/>
    </row>
    <row r="962" spans="7:8" ht="14.25" customHeight="1" x14ac:dyDescent="0.3">
      <c r="G962"/>
      <c r="H962"/>
    </row>
    <row r="963" spans="7:8" ht="14.25" customHeight="1" x14ac:dyDescent="0.3">
      <c r="G963"/>
      <c r="H963"/>
    </row>
    <row r="964" spans="7:8" ht="14.25" customHeight="1" x14ac:dyDescent="0.3">
      <c r="G964"/>
      <c r="H964"/>
    </row>
    <row r="965" spans="7:8" ht="14.25" customHeight="1" x14ac:dyDescent="0.3">
      <c r="G965"/>
      <c r="H965"/>
    </row>
    <row r="966" spans="7:8" ht="14.25" customHeight="1" x14ac:dyDescent="0.3">
      <c r="G966"/>
      <c r="H966"/>
    </row>
    <row r="967" spans="7:8" ht="14.25" customHeight="1" x14ac:dyDescent="0.3">
      <c r="G967"/>
      <c r="H967"/>
    </row>
    <row r="968" spans="7:8" ht="14.25" customHeight="1" x14ac:dyDescent="0.3">
      <c r="G968"/>
      <c r="H968"/>
    </row>
    <row r="969" spans="7:8" ht="14.25" customHeight="1" x14ac:dyDescent="0.3">
      <c r="G969"/>
      <c r="H969"/>
    </row>
    <row r="970" spans="7:8" ht="14.25" customHeight="1" x14ac:dyDescent="0.3">
      <c r="G970"/>
      <c r="H970"/>
    </row>
    <row r="971" spans="7:8" ht="14.25" customHeight="1" x14ac:dyDescent="0.3">
      <c r="G971"/>
      <c r="H971"/>
    </row>
    <row r="972" spans="7:8" ht="14.25" customHeight="1" x14ac:dyDescent="0.3">
      <c r="G972"/>
      <c r="H972"/>
    </row>
    <row r="973" spans="7:8" ht="14.25" customHeight="1" x14ac:dyDescent="0.3">
      <c r="G973"/>
      <c r="H973"/>
    </row>
    <row r="974" spans="7:8" ht="14.25" customHeight="1" x14ac:dyDescent="0.3">
      <c r="G974"/>
      <c r="H974"/>
    </row>
    <row r="975" spans="7:8" ht="14.25" customHeight="1" x14ac:dyDescent="0.3">
      <c r="G975"/>
      <c r="H975"/>
    </row>
    <row r="976" spans="7:8" ht="14.25" customHeight="1" x14ac:dyDescent="0.3">
      <c r="G976"/>
      <c r="H976"/>
    </row>
    <row r="977" spans="7:8" ht="14.25" customHeight="1" x14ac:dyDescent="0.3">
      <c r="G977"/>
      <c r="H977"/>
    </row>
    <row r="978" spans="7:8" ht="14.25" customHeight="1" x14ac:dyDescent="0.3">
      <c r="G978"/>
      <c r="H978"/>
    </row>
    <row r="979" spans="7:8" ht="14.25" customHeight="1" x14ac:dyDescent="0.3">
      <c r="G979"/>
      <c r="H979"/>
    </row>
    <row r="980" spans="7:8" ht="14.25" customHeight="1" x14ac:dyDescent="0.3">
      <c r="G980"/>
      <c r="H980"/>
    </row>
    <row r="981" spans="7:8" ht="14.25" customHeight="1" x14ac:dyDescent="0.3">
      <c r="G981"/>
      <c r="H981"/>
    </row>
    <row r="982" spans="7:8" ht="14.25" customHeight="1" x14ac:dyDescent="0.3">
      <c r="G982"/>
      <c r="H982"/>
    </row>
    <row r="983" spans="7:8" ht="14.25" customHeight="1" x14ac:dyDescent="0.3">
      <c r="G983"/>
      <c r="H983"/>
    </row>
    <row r="984" spans="7:8" ht="14.25" customHeight="1" x14ac:dyDescent="0.3">
      <c r="G984"/>
      <c r="H984"/>
    </row>
    <row r="985" spans="7:8" ht="14.25" customHeight="1" x14ac:dyDescent="0.3">
      <c r="G985"/>
      <c r="H985"/>
    </row>
    <row r="986" spans="7:8" ht="14.25" customHeight="1" x14ac:dyDescent="0.3">
      <c r="G986"/>
      <c r="H986"/>
    </row>
    <row r="987" spans="7:8" ht="14.25" customHeight="1" x14ac:dyDescent="0.3">
      <c r="G987"/>
      <c r="H987"/>
    </row>
    <row r="988" spans="7:8" ht="14.25" customHeight="1" x14ac:dyDescent="0.3">
      <c r="G988"/>
      <c r="H988"/>
    </row>
    <row r="989" spans="7:8" ht="14.25" customHeight="1" x14ac:dyDescent="0.3">
      <c r="G989"/>
      <c r="H989"/>
    </row>
    <row r="990" spans="7:8" ht="14.25" customHeight="1" x14ac:dyDescent="0.3">
      <c r="G990"/>
      <c r="H990"/>
    </row>
    <row r="991" spans="7:8" ht="14.25" customHeight="1" x14ac:dyDescent="0.3">
      <c r="G991"/>
      <c r="H991"/>
    </row>
    <row r="992" spans="7:8" ht="14.25" customHeight="1" x14ac:dyDescent="0.3">
      <c r="G992"/>
      <c r="H992"/>
    </row>
    <row r="993" spans="7:8" ht="14.25" customHeight="1" x14ac:dyDescent="0.3">
      <c r="G993"/>
      <c r="H993"/>
    </row>
    <row r="994" spans="7:8" ht="14.25" customHeight="1" x14ac:dyDescent="0.3">
      <c r="G994"/>
      <c r="H994"/>
    </row>
    <row r="995" spans="7:8" ht="14.25" customHeight="1" x14ac:dyDescent="0.3">
      <c r="G995"/>
      <c r="H995"/>
    </row>
    <row r="996" spans="7:8" ht="14.25" customHeight="1" x14ac:dyDescent="0.3">
      <c r="G996"/>
      <c r="H996"/>
    </row>
    <row r="997" spans="7:8" ht="14.25" customHeight="1" x14ac:dyDescent="0.3">
      <c r="G997"/>
      <c r="H997"/>
    </row>
    <row r="998" spans="7:8" ht="14.25" customHeight="1" x14ac:dyDescent="0.3">
      <c r="G998"/>
      <c r="H998"/>
    </row>
    <row r="999" spans="7:8" ht="14.25" customHeight="1" x14ac:dyDescent="0.3">
      <c r="G999"/>
      <c r="H999"/>
    </row>
    <row r="1000" spans="7:8" ht="14.25" customHeight="1" x14ac:dyDescent="0.3">
      <c r="G1000"/>
      <c r="H1000"/>
    </row>
  </sheetData>
  <pageMargins left="0.7" right="0.7" top="0.75" bottom="0.75" header="0" footer="0"/>
  <pageSetup orientation="landscape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B8CF1-D802-4525-BC26-37A7E3FE0915}">
  <dimension ref="A1:D9"/>
  <sheetViews>
    <sheetView workbookViewId="0">
      <selection activeCell="A5" sqref="A5"/>
    </sheetView>
  </sheetViews>
  <sheetFormatPr defaultRowHeight="14.4" x14ac:dyDescent="0.3"/>
  <cols>
    <col min="1" max="1" width="22.6640625" customWidth="1"/>
    <col min="2" max="2" width="23.44140625" customWidth="1"/>
    <col min="3" max="3" width="19.21875" customWidth="1"/>
    <col min="4" max="4" width="25.33203125" customWidth="1"/>
  </cols>
  <sheetData>
    <row r="1" spans="1:4" ht="28.8" x14ac:dyDescent="0.3">
      <c r="A1" s="10" t="s">
        <v>369</v>
      </c>
      <c r="B1" s="10" t="s">
        <v>370</v>
      </c>
      <c r="C1" s="10" t="s">
        <v>371</v>
      </c>
      <c r="D1" s="10" t="s">
        <v>372</v>
      </c>
    </row>
    <row r="2" spans="1:4" ht="57.6" x14ac:dyDescent="0.3">
      <c r="A2" s="11" t="s">
        <v>373</v>
      </c>
      <c r="B2" s="11" t="s">
        <v>374</v>
      </c>
      <c r="C2" s="11" t="s">
        <v>375</v>
      </c>
      <c r="D2" s="11" t="s">
        <v>376</v>
      </c>
    </row>
    <row r="3" spans="1:4" ht="43.2" x14ac:dyDescent="0.3">
      <c r="A3" s="11" t="s">
        <v>377</v>
      </c>
      <c r="B3" s="11" t="s">
        <v>378</v>
      </c>
      <c r="C3" s="11" t="s">
        <v>375</v>
      </c>
      <c r="D3" s="11" t="s">
        <v>379</v>
      </c>
    </row>
    <row r="4" spans="1:4" ht="43.2" x14ac:dyDescent="0.3">
      <c r="A4" s="11" t="s">
        <v>380</v>
      </c>
      <c r="B4" s="11" t="s">
        <v>381</v>
      </c>
      <c r="C4" s="11" t="s">
        <v>382</v>
      </c>
      <c r="D4" s="11" t="s">
        <v>383</v>
      </c>
    </row>
    <row r="5" spans="1:4" ht="28.8" x14ac:dyDescent="0.3">
      <c r="A5" s="11" t="s">
        <v>384</v>
      </c>
      <c r="B5" s="11" t="s">
        <v>385</v>
      </c>
      <c r="C5" s="11" t="s">
        <v>375</v>
      </c>
      <c r="D5" s="11" t="s">
        <v>386</v>
      </c>
    </row>
    <row r="6" spans="1:4" ht="43.2" x14ac:dyDescent="0.3">
      <c r="A6" s="11" t="s">
        <v>387</v>
      </c>
      <c r="B6" s="11" t="s">
        <v>388</v>
      </c>
      <c r="C6" s="11" t="s">
        <v>375</v>
      </c>
      <c r="D6" s="11" t="s">
        <v>389</v>
      </c>
    </row>
    <row r="7" spans="1:4" ht="43.2" x14ac:dyDescent="0.3">
      <c r="A7" s="11" t="s">
        <v>390</v>
      </c>
      <c r="B7" s="11" t="s">
        <v>391</v>
      </c>
      <c r="C7" s="11" t="s">
        <v>392</v>
      </c>
      <c r="D7" s="11" t="s">
        <v>393</v>
      </c>
    </row>
    <row r="8" spans="1:4" ht="43.2" x14ac:dyDescent="0.3">
      <c r="A8" s="11" t="s">
        <v>394</v>
      </c>
      <c r="B8" s="11" t="s">
        <v>395</v>
      </c>
      <c r="C8" s="11" t="s">
        <v>396</v>
      </c>
      <c r="D8" s="11" t="s">
        <v>397</v>
      </c>
    </row>
    <row r="9" spans="1:4" ht="43.2" x14ac:dyDescent="0.3">
      <c r="A9" s="11" t="s">
        <v>398</v>
      </c>
      <c r="B9" s="11" t="s">
        <v>399</v>
      </c>
      <c r="C9" s="11" t="s">
        <v>375</v>
      </c>
      <c r="D9" s="11" t="s">
        <v>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Dataset_SS11_Bai2_Marketing</vt:lpstr>
      <vt:lpstr>Phần 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admin</cp:lastModifiedBy>
  <dcterms:created xsi:type="dcterms:W3CDTF">2026-01-23T03:50:56Z</dcterms:created>
  <dcterms:modified xsi:type="dcterms:W3CDTF">2026-01-27T04:34:49Z</dcterms:modified>
</cp:coreProperties>
</file>